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16" windowWidth="18636" windowHeight="9420" activeTab="7"/>
  </bookViews>
  <sheets>
    <sheet name="connections2" sheetId="5" r:id="rId1"/>
    <sheet name="Wellnames" sheetId="2" r:id="rId2"/>
    <sheet name="Separators" sheetId="6" r:id="rId3"/>
    <sheet name="RMSs" sheetId="7" r:id="rId4"/>
    <sheet name="TLs" sheetId="8" r:id="rId5"/>
    <sheet name="Slots" sheetId="9" r:id="rId6"/>
    <sheet name="Sheet5" sheetId="10" r:id="rId7"/>
    <sheet name="dp_correlation" sheetId="11" r:id="rId8"/>
    <sheet name="PVT" sheetId="14" r:id="rId9"/>
  </sheets>
  <functionGroups builtInGroupCount="17"/>
  <definedNames>
    <definedName name="_xlnm._FilterDatabase" localSheetId="0" hidden="1">connections2!$A$2:$N$322</definedName>
  </definedNames>
  <calcPr calcId="144525"/>
</workbook>
</file>

<file path=xl/calcChain.xml><?xml version="1.0" encoding="utf-8"?>
<calcChain xmlns="http://schemas.openxmlformats.org/spreadsheetml/2006/main">
  <c r="U46" i="11" l="1"/>
  <c r="U45" i="11"/>
  <c r="U44" i="11"/>
  <c r="U43" i="11"/>
  <c r="U42" i="11"/>
  <c r="U41" i="11"/>
  <c r="U30" i="11"/>
  <c r="U31" i="11"/>
  <c r="U32" i="11"/>
  <c r="U33" i="11"/>
  <c r="U34" i="11"/>
  <c r="U29" i="11"/>
  <c r="U22" i="11"/>
  <c r="U21" i="11"/>
  <c r="U20" i="11"/>
  <c r="U19" i="11"/>
  <c r="U18" i="11"/>
  <c r="U17" i="11"/>
  <c r="U6" i="11"/>
  <c r="U7" i="11"/>
  <c r="U8" i="11"/>
  <c r="U9" i="11"/>
  <c r="U10" i="11"/>
  <c r="U5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R31" i="11"/>
  <c r="S31" i="11"/>
  <c r="R32" i="11"/>
  <c r="S32" i="11"/>
  <c r="R33" i="11"/>
  <c r="S33" i="11"/>
  <c r="R34" i="11"/>
  <c r="S34" i="11"/>
  <c r="R30" i="11"/>
  <c r="S30" i="11"/>
  <c r="S29" i="11"/>
  <c r="R29" i="11"/>
  <c r="S22" i="11"/>
  <c r="S21" i="11"/>
  <c r="S20" i="11"/>
  <c r="S19" i="11"/>
  <c r="S18" i="11"/>
  <c r="S17" i="11"/>
  <c r="S6" i="11"/>
  <c r="S7" i="11"/>
  <c r="S8" i="11"/>
  <c r="S9" i="11"/>
  <c r="S10" i="11"/>
  <c r="S5" i="11"/>
  <c r="R10" i="11"/>
  <c r="R9" i="11"/>
  <c r="R8" i="11"/>
  <c r="R7" i="11"/>
  <c r="R6" i="11"/>
  <c r="R5" i="11"/>
  <c r="R18" i="11"/>
  <c r="R19" i="11"/>
  <c r="R20" i="11"/>
  <c r="R21" i="11"/>
  <c r="R22" i="11"/>
  <c r="R17" i="11"/>
  <c r="M2" i="14"/>
  <c r="M1" i="14"/>
  <c r="S4" i="14"/>
  <c r="S3" i="14"/>
  <c r="S2" i="14"/>
  <c r="M6" i="14" s="1"/>
  <c r="J5" i="14" l="1"/>
  <c r="R4" i="14"/>
  <c r="R3" i="14"/>
  <c r="R2" i="14"/>
  <c r="M5" i="14" s="1"/>
  <c r="Q4" i="14"/>
  <c r="Q3" i="14"/>
  <c r="Q2" i="14"/>
  <c r="M4" i="14" s="1"/>
  <c r="P4" i="14"/>
  <c r="P3" i="14"/>
  <c r="P2" i="14"/>
  <c r="M3" i="14" s="1"/>
  <c r="H2" i="14" l="1"/>
  <c r="G3" i="14"/>
  <c r="H3" i="14" l="1"/>
  <c r="H5" i="14" s="1"/>
  <c r="I5" i="14"/>
  <c r="G4" i="14" l="1"/>
  <c r="G5" i="14" s="1"/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0" i="5"/>
  <c r="N321" i="5"/>
  <c r="N322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sharedStrings.xml><?xml version="1.0" encoding="utf-8"?>
<sst xmlns="http://schemas.openxmlformats.org/spreadsheetml/2006/main" count="2416" uniqueCount="481">
  <si>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</si>
  <si>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</si>
  <si>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</si>
  <si>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</si>
  <si>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</si>
  <si>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</si>
  <si>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</si>
  <si>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</si>
  <si>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</si>
  <si>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</si>
  <si>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</si>
  <si>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</si>
  <si>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</si>
  <si>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</si>
  <si>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</si>
  <si>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</si>
  <si>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</si>
  <si>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</si>
  <si>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</si>
  <si>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</si>
  <si>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</si>
  <si>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</si>
  <si>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</si>
  <si>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</si>
  <si>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</si>
  <si>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</si>
  <si>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</si>
  <si>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</si>
  <si>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</si>
  <si>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</si>
  <si>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</si>
  <si>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</si>
  <si>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</si>
  <si>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</si>
  <si>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</si>
  <si>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</si>
  <si>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</si>
  <si>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</si>
  <si>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</si>
  <si>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</si>
  <si>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</si>
  <si>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</si>
  <si>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</si>
  <si>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</si>
  <si>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</si>
  <si>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</si>
  <si>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</si>
  <si>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</si>
  <si>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</si>
  <si>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</si>
  <si>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</si>
  <si>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</si>
  <si>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</si>
  <si>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</si>
  <si>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</si>
  <si>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</si>
  <si>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</si>
  <si>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</si>
  <si>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</si>
  <si>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</si>
  <si>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</si>
  <si>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</si>
  <si>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</si>
  <si>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</si>
  <si>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</si>
  <si>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</si>
  <si>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</si>
  <si>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</si>
  <si>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</si>
  <si>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</si>
  <si>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</si>
  <si>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</si>
  <si>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</si>
  <si>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</si>
  <si>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</si>
  <si>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</si>
  <si>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</si>
  <si>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</si>
  <si>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</si>
  <si>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</si>
  <si>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</si>
  <si>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</si>
  <si>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</si>
  <si>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</si>
  <si>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</si>
  <si>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</si>
  <si>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</si>
  <si>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</si>
  <si>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</si>
  <si>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</si>
  <si>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</si>
  <si>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</si>
  <si>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</si>
  <si>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</si>
  <si>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</si>
  <si>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</si>
  <si>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</si>
  <si>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</si>
  <si>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</si>
  <si>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</si>
  <si>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</si>
  <si>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</si>
  <si>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</si>
  <si>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</si>
  <si>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</si>
  <si>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</si>
  <si>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</si>
  <si>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</si>
  <si>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</si>
  <si>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</si>
  <si>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</si>
  <si>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</si>
  <si>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</si>
  <si>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</si>
  <si>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</si>
  <si>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</si>
  <si>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</si>
  <si>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</si>
  <si>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</si>
  <si>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</si>
  <si>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</si>
  <si>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</si>
  <si>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</si>
  <si>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</si>
  <si>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</si>
  <si>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</si>
  <si>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</si>
  <si>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</si>
  <si>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</si>
  <si>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</si>
  <si>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</si>
  <si>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</si>
  <si>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</si>
  <si>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</si>
  <si>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</si>
  <si>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</si>
  <si>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</si>
  <si>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</si>
  <si>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</si>
  <si>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</si>
  <si>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</si>
  <si>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</si>
  <si>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</si>
  <si>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</si>
  <si>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</si>
  <si>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</si>
  <si>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</si>
  <si>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</si>
  <si>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</si>
  <si>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</si>
  <si>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</si>
  <si>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</si>
  <si>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</si>
  <si>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</si>
  <si>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</si>
  <si>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</si>
  <si>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</si>
  <si>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</si>
  <si>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</si>
  <si>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</si>
  <si>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</si>
  <si>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</si>
  <si>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</si>
  <si>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</si>
  <si>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</si>
  <si>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</si>
  <si>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</si>
  <si>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</si>
  <si>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</si>
  <si>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</si>
  <si>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</si>
  <si>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</si>
  <si>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</si>
  <si>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</si>
  <si>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</si>
  <si>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</si>
  <si>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</si>
  <si>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</si>
  <si>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</si>
  <si>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</si>
  <si>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</si>
  <si>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</si>
  <si>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</si>
  <si>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</si>
  <si>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</si>
  <si>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</si>
  <si>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</si>
  <si>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</si>
  <si>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</si>
  <si>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</si>
  <si>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</si>
  <si>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</si>
  <si>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</si>
  <si>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</si>
  <si>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</si>
  <si>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</si>
  <si>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</si>
  <si>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</si>
  <si>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</si>
  <si>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</si>
  <si>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</si>
  <si>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</si>
  <si>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</si>
  <si>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</si>
  <si>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</si>
  <si>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</si>
  <si>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</si>
  <si>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</si>
  <si>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</si>
  <si>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</si>
  <si>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</si>
  <si>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</si>
  <si>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</si>
  <si>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</si>
  <si>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</si>
  <si>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</si>
  <si>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</si>
  <si>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</si>
  <si>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</si>
  <si>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</si>
  <si>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</si>
  <si>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</si>
  <si>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</si>
  <si>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</si>
  <si>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</si>
  <si>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</si>
  <si>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</si>
  <si>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</si>
  <si>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</si>
  <si>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</si>
  <si>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</si>
  <si>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</si>
  <si>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</si>
  <si>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</si>
  <si>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</si>
  <si>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</si>
  <si>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</si>
  <si>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</si>
  <si>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</si>
  <si>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</si>
  <si>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</si>
  <si>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</si>
  <si>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</si>
  <si>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</si>
  <si>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</si>
  <si>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</si>
  <si>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</si>
  <si>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</si>
  <si>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</si>
  <si>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</si>
  <si>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</si>
  <si>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</si>
  <si>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</si>
  <si>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</si>
  <si>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</si>
  <si>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</si>
  <si>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</si>
  <si>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</si>
  <si>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</si>
  <si>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</si>
  <si>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</si>
  <si>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</si>
  <si>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</si>
  <si>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</si>
  <si>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</si>
  <si>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</si>
  <si>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</si>
  <si>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</si>
  <si>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</si>
  <si>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</si>
  <si>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</si>
  <si>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</si>
  <si>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</si>
  <si>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</si>
  <si>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</si>
  <si>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</si>
  <si>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</si>
  <si>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</si>
  <si>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</si>
  <si>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</si>
  <si>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</si>
  <si>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</si>
  <si>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</si>
  <si>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</si>
  <si>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</si>
  <si>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</si>
  <si>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</si>
  <si>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</si>
  <si>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</si>
  <si>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</si>
  <si>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</si>
  <si>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</si>
  <si>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</si>
  <si>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</si>
  <si>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</si>
  <si>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</si>
  <si>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</si>
  <si>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</si>
  <si>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</si>
  <si>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</si>
  <si>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</si>
  <si>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</si>
  <si>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</si>
  <si>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</si>
  <si>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</si>
  <si>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</si>
  <si>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</si>
  <si>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</si>
  <si>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</si>
  <si>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</si>
  <si>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</si>
  <si>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</si>
  <si>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</si>
  <si>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</si>
  <si>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</si>
  <si>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</si>
  <si>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</si>
  <si>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</si>
  <si>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</si>
  <si>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</si>
  <si>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</si>
  <si>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</si>
  <si>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</si>
  <si>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</si>
  <si>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GAP_name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</si>
  <si>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</si>
  <si>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</si>
  <si>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</si>
  <si>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</si>
  <si>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</si>
  <si>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</si>
  <si>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</si>
  <si>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</si>
  <si>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</si>
  <si>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</si>
  <si>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</si>
  <si>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</si>
  <si>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</si>
  <si>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</si>
  <si>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</si>
  <si>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</si>
  <si>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</si>
  <si>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</si>
  <si>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</si>
  <si>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</si>
  <si>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</si>
  <si>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</si>
  <si>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</si>
  <si>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</si>
  <si>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</si>
  <si>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</si>
  <si>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</si>
  <si>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</si>
  <si>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</si>
  <si>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</si>
  <si>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</si>
  <si>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</si>
  <si>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</si>
  <si>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</si>
  <si>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</si>
  <si>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</si>
  <si>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EOPS</t>
  </si>
  <si>
    <t>qwat</t>
  </si>
  <si>
    <t>qwat+qoil</t>
  </si>
  <si>
    <t>wct</t>
  </si>
  <si>
    <t>wct*qwat+wct*qoil</t>
  </si>
  <si>
    <t>(1-wct)*qwat=wct*qoil</t>
  </si>
  <si>
    <t>qwat=wct/(1-wct)*qoil</t>
  </si>
  <si>
    <t>GOR</t>
  </si>
  <si>
    <t>WCT</t>
  </si>
  <si>
    <t>Separator 'Sep1' pressure</t>
  </si>
  <si>
    <t>Oil Rate</t>
  </si>
  <si>
    <t>Gas Rate</t>
  </si>
  <si>
    <t>Water Rate</t>
  </si>
  <si>
    <t>Liquid Rate</t>
  </si>
  <si>
    <t>Revenue</t>
  </si>
  <si>
    <t>Mass Flow Rate</t>
  </si>
  <si>
    <t>HC Mass Flow Rate</t>
  </si>
  <si>
    <t>Average Oil Rate</t>
  </si>
  <si>
    <t>Average Gas Rate</t>
  </si>
  <si>
    <t>Average Water Rate</t>
  </si>
  <si>
    <t>Average Liquid Rate</t>
  </si>
  <si>
    <t>Gross Heating Value</t>
  </si>
  <si>
    <t>Specific Gross Heating Value</t>
  </si>
  <si>
    <t>Pressure</t>
  </si>
  <si>
    <t>Temperature</t>
  </si>
  <si>
    <t>Pressure Drop</t>
  </si>
  <si>
    <t>Flow Assurance</t>
  </si>
  <si>
    <t>Status</t>
  </si>
  <si>
    <t>CGR</t>
  </si>
  <si>
    <t>WGR</t>
  </si>
  <si>
    <t>GLR</t>
  </si>
  <si>
    <t>Oil gravity</t>
  </si>
  <si>
    <t>Gas gravity</t>
  </si>
  <si>
    <t>H2S</t>
  </si>
  <si>
    <t>CO2</t>
  </si>
  <si>
    <t>N2</t>
  </si>
  <si>
    <t>Water salinity</t>
  </si>
  <si>
    <t>Max mixture velocity</t>
  </si>
  <si>
    <t>C Factor</t>
  </si>
  <si>
    <t>Max line pressure</t>
  </si>
  <si>
    <t>DP Gravity</t>
  </si>
  <si>
    <t>DP Friction</t>
  </si>
  <si>
    <t>DP Acceleration</t>
  </si>
  <si>
    <t>BARa</t>
  </si>
  <si>
    <t>Sm3/day</t>
  </si>
  <si>
    <t>1000Sm3/d</t>
  </si>
  <si>
    <t>MMUS$/day</t>
  </si>
  <si>
    <t>tonne/day</t>
  </si>
  <si>
    <t>MW</t>
  </si>
  <si>
    <t>BTU/scf</t>
  </si>
  <si>
    <t>deg C</t>
  </si>
  <si>
    <t>bar</t>
  </si>
  <si>
    <t>Sm3/Sm3</t>
  </si>
  <si>
    <t>percent</t>
  </si>
  <si>
    <t>Kg/m3</t>
  </si>
  <si>
    <t>sp. gravity</t>
  </si>
  <si>
    <t>ppm</t>
  </si>
  <si>
    <t>m/sec</t>
  </si>
  <si>
    <t>mm</t>
  </si>
  <si>
    <t>100m</t>
  </si>
  <si>
    <t xml:space="preserve">     </t>
  </si>
  <si>
    <t xml:space="preserve">      </t>
  </si>
  <si>
    <t xml:space="preserve">    </t>
  </si>
  <si>
    <t xml:space="preserve">    Oil</t>
  </si>
  <si>
    <t xml:space="preserve">    Gas</t>
  </si>
  <si>
    <t xml:space="preserve">   Water</t>
  </si>
  <si>
    <t xml:space="preserve">   Oil</t>
  </si>
  <si>
    <t xml:space="preserve">   Gas</t>
  </si>
  <si>
    <t xml:space="preserve">  Water</t>
  </si>
  <si>
    <t xml:space="preserve"> Bubble</t>
  </si>
  <si>
    <t xml:space="preserve">        </t>
  </si>
  <si>
    <t xml:space="preserve"> Pressure</t>
  </si>
  <si>
    <t xml:space="preserve"> Factor</t>
  </si>
  <si>
    <t xml:space="preserve"> Temperature</t>
  </si>
  <si>
    <t xml:space="preserve"> Density</t>
  </si>
  <si>
    <t xml:space="preserve"> Viscosity</t>
  </si>
  <si>
    <t xml:space="preserve">   FVF</t>
  </si>
  <si>
    <t xml:space="preserve">    FVF</t>
  </si>
  <si>
    <t xml:space="preserve">  (BARa)</t>
  </si>
  <si>
    <t xml:space="preserve">   (deg C)</t>
  </si>
  <si>
    <t xml:space="preserve"> (Kg/m3)</t>
  </si>
  <si>
    <t xml:space="preserve">  (mPa.s)</t>
  </si>
  <si>
    <t xml:space="preserve">   (mN/m)</t>
  </si>
  <si>
    <t xml:space="preserve"> (m3/Sm3)</t>
  </si>
  <si>
    <t xml:space="preserve"> --------</t>
  </si>
  <si>
    <t xml:space="preserve"> -----------</t>
  </si>
  <si>
    <t xml:space="preserve"> ---------</t>
  </si>
  <si>
    <t xml:space="preserve"> -------</t>
  </si>
  <si>
    <t xml:space="preserve"> ----------</t>
  </si>
  <si>
    <t xml:space="preserve"> ---------------</t>
  </si>
  <si>
    <t xml:space="preserve">                        ###############################</t>
  </si>
  <si>
    <t xml:space="preserve">                        #  PVT - Calculation Results  #</t>
  </si>
  <si>
    <t xml:space="preserve">       Oil</t>
  </si>
  <si>
    <t xml:space="preserve">    Z</t>
  </si>
  <si>
    <t xml:space="preserve">      Water</t>
  </si>
  <si>
    <t xml:space="preserve"> Liquid/Gas</t>
  </si>
  <si>
    <t xml:space="preserve"> Oil/Gas</t>
  </si>
  <si>
    <t xml:space="preserve"> Water/Gas</t>
  </si>
  <si>
    <t xml:space="preserve"> Oil/Water</t>
  </si>
  <si>
    <t xml:space="preserve">  Point</t>
  </si>
  <si>
    <t xml:space="preserve">   Ratio</t>
  </si>
  <si>
    <t xml:space="preserve"> Compressibility</t>
  </si>
  <si>
    <t xml:space="preserve">    IFT</t>
  </si>
  <si>
    <t xml:space="preserve">   IFT</t>
  </si>
  <si>
    <t xml:space="preserve"> (BARa)</t>
  </si>
  <si>
    <t xml:space="preserve"> (Sm3/Sm3)</t>
  </si>
  <si>
    <t xml:space="preserve">     (1/bar)</t>
  </si>
  <si>
    <t xml:space="preserve"> (mN/m)</t>
  </si>
  <si>
    <t xml:space="preserve">  (mN/m)</t>
  </si>
  <si>
    <t>pres</t>
  </si>
  <si>
    <t>oilfvf</t>
  </si>
  <si>
    <t>gasfvf</t>
  </si>
  <si>
    <t>temp</t>
  </si>
  <si>
    <t>rs</t>
  </si>
  <si>
    <t>total flow rm3/d</t>
  </si>
  <si>
    <t>viscoil</t>
  </si>
  <si>
    <t>match</t>
  </si>
  <si>
    <t>qoil+qgasfree</t>
  </si>
  <si>
    <t>qgas free r</t>
  </si>
  <si>
    <t>qgas fee 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</si>
</sst>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83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1" fontId="0" fillId="0" borderId="0" xfId="0" applyNumberFormat="1"/>
    <xf numFmtId="11" fontId="0" fillId="0" borderId="0" xfId="0" applyNumberFormat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6" borderId="0" xfId="0" applyFill="1"/>
    <xf numFmtId="0" fontId="0" fillId="0" borderId="18" xfId="0" applyFill="1" applyBorder="1"/>
    <xf numFmtId="0" fontId="0" fillId="7" borderId="0" xfId="0" applyFill="1"/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2"/>
          <c:xVal>
            <c:numRef>
              <c:f>dp_correlation!$U$17:$U$22</c:f>
              <c:numCache>
                <c:formatCode>General</c:formatCode>
                <c:ptCount val="6"/>
                <c:pt idx="0">
                  <c:v>0.14544659314170971</c:v>
                </c:pt>
                <c:pt idx="1">
                  <c:v>0.10343435442731604</c:v>
                </c:pt>
                <c:pt idx="2">
                  <c:v>7.4376834054898422E-2</c:v>
                </c:pt>
                <c:pt idx="3">
                  <c:v>4.6397325792170326E-2</c:v>
                </c:pt>
                <c:pt idx="4">
                  <c:v>1.2363058982278317E-2</c:v>
                </c:pt>
                <c:pt idx="5">
                  <c:v>6.9871977352530682E-3</c:v>
                </c:pt>
              </c:numCache>
            </c:numRef>
          </c:xVal>
          <c:yVal>
            <c:numRef>
              <c:f>dp_correlation!$X$17:$X$22</c:f>
              <c:numCache>
                <c:formatCode>General</c:formatCode>
                <c:ptCount val="6"/>
                <c:pt idx="0">
                  <c:v>3.4369999999999998</c:v>
                </c:pt>
                <c:pt idx="1">
                  <c:v>1.0489999999999999</c:v>
                </c:pt>
                <c:pt idx="2">
                  <c:v>0.47599999999999998</c:v>
                </c:pt>
                <c:pt idx="3">
                  <c:v>0.192</c:v>
                </c:pt>
                <c:pt idx="4">
                  <c:v>2.1999999999999999E-2</c:v>
                </c:pt>
                <c:pt idx="5">
                  <c:v>8.9999999999999993E-3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dp_correlation!$U$5:$U$10</c:f>
              <c:numCache>
                <c:formatCode>General</c:formatCode>
                <c:ptCount val="6"/>
                <c:pt idx="0">
                  <c:v>0.11206033364724478</c:v>
                </c:pt>
                <c:pt idx="1">
                  <c:v>7.8721475920957698E-2</c:v>
                </c:pt>
                <c:pt idx="2">
                  <c:v>5.6590609769869377E-2</c:v>
                </c:pt>
                <c:pt idx="3">
                  <c:v>3.5554477700010328E-2</c:v>
                </c:pt>
                <c:pt idx="4">
                  <c:v>9.8133666785960912E-3</c:v>
                </c:pt>
                <c:pt idx="5">
                  <c:v>5.6013916034586943E-3</c:v>
                </c:pt>
              </c:numCache>
            </c:numRef>
          </c:xVal>
          <c:yVal>
            <c:numRef>
              <c:f>dp_correlation!$X$5:$X$10</c:f>
              <c:numCache>
                <c:formatCode>General</c:formatCode>
                <c:ptCount val="6"/>
                <c:pt idx="0">
                  <c:v>1.3440000000000001</c:v>
                </c:pt>
                <c:pt idx="1">
                  <c:v>0.41099999999999998</c:v>
                </c:pt>
                <c:pt idx="2">
                  <c:v>0.191</c:v>
                </c:pt>
                <c:pt idx="3">
                  <c:v>7.6999999999999999E-2</c:v>
                </c:pt>
                <c:pt idx="4">
                  <c:v>8.9999999999999993E-3</c:v>
                </c:pt>
                <c:pt idx="5">
                  <c:v>4.0000000000000001E-3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dp_correlation!$U$41:$U$46</c:f>
              <c:numCache>
                <c:formatCode>General</c:formatCode>
                <c:ptCount val="6"/>
                <c:pt idx="0">
                  <c:v>4.5701881461758277E-2</c:v>
                </c:pt>
                <c:pt idx="1">
                  <c:v>3.2346985038676793E-2</c:v>
                </c:pt>
                <c:pt idx="2">
                  <c:v>2.3504487090751303E-2</c:v>
                </c:pt>
                <c:pt idx="3">
                  <c:v>1.5048780851021898E-2</c:v>
                </c:pt>
                <c:pt idx="4">
                  <c:v>4.4135857617644851E-3</c:v>
                </c:pt>
                <c:pt idx="5">
                  <c:v>2.5544944193336885E-3</c:v>
                </c:pt>
              </c:numCache>
            </c:numRef>
          </c:xVal>
          <c:yVal>
            <c:numRef>
              <c:f>dp_correlation!$X$41:$X$46</c:f>
              <c:numCache>
                <c:formatCode>General</c:formatCode>
                <c:ptCount val="6"/>
                <c:pt idx="0">
                  <c:v>0.17</c:v>
                </c:pt>
                <c:pt idx="1">
                  <c:v>5.3999999999999999E-2</c:v>
                </c:pt>
                <c:pt idx="2">
                  <c:v>2.5000000000000001E-2</c:v>
                </c:pt>
                <c:pt idx="3">
                  <c:v>1.0999999999999999E-2</c:v>
                </c:pt>
                <c:pt idx="4">
                  <c:v>1E-3</c:v>
                </c:pt>
                <c:pt idx="5">
                  <c:v>1E-3</c:v>
                </c:pt>
              </c:numCache>
            </c:numRef>
          </c:yVal>
          <c:smooth val="0"/>
        </c:ser>
        <c:ser>
          <c:idx val="0"/>
          <c:order val="0"/>
          <c:xVal>
            <c:numRef>
              <c:f>dp_correlation!$U$29:$U$34</c:f>
              <c:numCache>
                <c:formatCode>General</c:formatCode>
                <c:ptCount val="6"/>
                <c:pt idx="0">
                  <c:v>3.496124931614502E-2</c:v>
                </c:pt>
                <c:pt idx="1">
                  <c:v>2.4754840641140433E-2</c:v>
                </c:pt>
                <c:pt idx="2">
                  <c:v>1.8022972899322826E-2</c:v>
                </c:pt>
                <c:pt idx="3">
                  <c:v>1.1614924164553115E-2</c:v>
                </c:pt>
                <c:pt idx="4">
                  <c:v>3.4567687829704066E-3</c:v>
                </c:pt>
                <c:pt idx="5">
                  <c:v>1.981093593063457E-3</c:v>
                </c:pt>
              </c:numCache>
            </c:numRef>
          </c:xVal>
          <c:yVal>
            <c:numRef>
              <c:f>dp_correlation!$X$29:$X$34</c:f>
              <c:numCache>
                <c:formatCode>General</c:formatCode>
                <c:ptCount val="6"/>
                <c:pt idx="0">
                  <c:v>6.3E-2</c:v>
                </c:pt>
                <c:pt idx="1">
                  <c:v>2.1000000000000001E-2</c:v>
                </c:pt>
                <c:pt idx="2">
                  <c:v>0.01</c:v>
                </c:pt>
                <c:pt idx="3">
                  <c:v>4.0000000000000001E-3</c:v>
                </c:pt>
                <c:pt idx="4">
                  <c:v>1E-3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11744"/>
        <c:axId val="157313280"/>
      </c:scatterChart>
      <c:valAx>
        <c:axId val="15731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313280"/>
        <c:crosses val="autoZero"/>
        <c:crossBetween val="midCat"/>
      </c:valAx>
      <c:valAx>
        <c:axId val="15731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11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2"/>
          <c:xVal>
            <c:numRef>
              <c:f>dp_correlation!$U$17:$U$22</c:f>
              <c:numCache>
                <c:formatCode>General</c:formatCode>
                <c:ptCount val="6"/>
                <c:pt idx="0">
                  <c:v>0.14544659314170971</c:v>
                </c:pt>
                <c:pt idx="1">
                  <c:v>0.10343435442731604</c:v>
                </c:pt>
                <c:pt idx="2">
                  <c:v>7.4376834054898422E-2</c:v>
                </c:pt>
                <c:pt idx="3">
                  <c:v>4.6397325792170326E-2</c:v>
                </c:pt>
                <c:pt idx="4">
                  <c:v>1.2363058982278317E-2</c:v>
                </c:pt>
                <c:pt idx="5">
                  <c:v>6.9871977352530682E-3</c:v>
                </c:pt>
              </c:numCache>
            </c:numRef>
          </c:xVal>
          <c:yVal>
            <c:numRef>
              <c:f>dp_correlation!$X$17:$X$22</c:f>
              <c:numCache>
                <c:formatCode>General</c:formatCode>
                <c:ptCount val="6"/>
                <c:pt idx="0">
                  <c:v>3.4369999999999998</c:v>
                </c:pt>
                <c:pt idx="1">
                  <c:v>1.0489999999999999</c:v>
                </c:pt>
                <c:pt idx="2">
                  <c:v>0.47599999999999998</c:v>
                </c:pt>
                <c:pt idx="3">
                  <c:v>0.192</c:v>
                </c:pt>
                <c:pt idx="4">
                  <c:v>2.1999999999999999E-2</c:v>
                </c:pt>
                <c:pt idx="5">
                  <c:v>8.9999999999999993E-3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dp_correlation!$U$5:$U$10</c:f>
              <c:numCache>
                <c:formatCode>General</c:formatCode>
                <c:ptCount val="6"/>
                <c:pt idx="0">
                  <c:v>0.11206033364724478</c:v>
                </c:pt>
                <c:pt idx="1">
                  <c:v>7.8721475920957698E-2</c:v>
                </c:pt>
                <c:pt idx="2">
                  <c:v>5.6590609769869377E-2</c:v>
                </c:pt>
                <c:pt idx="3">
                  <c:v>3.5554477700010328E-2</c:v>
                </c:pt>
                <c:pt idx="4">
                  <c:v>9.8133666785960912E-3</c:v>
                </c:pt>
                <c:pt idx="5">
                  <c:v>5.6013916034586943E-3</c:v>
                </c:pt>
              </c:numCache>
            </c:numRef>
          </c:xVal>
          <c:yVal>
            <c:numRef>
              <c:f>dp_correlation!$X$5:$X$10</c:f>
              <c:numCache>
                <c:formatCode>General</c:formatCode>
                <c:ptCount val="6"/>
                <c:pt idx="0">
                  <c:v>1.3440000000000001</c:v>
                </c:pt>
                <c:pt idx="1">
                  <c:v>0.41099999999999998</c:v>
                </c:pt>
                <c:pt idx="2">
                  <c:v>0.191</c:v>
                </c:pt>
                <c:pt idx="3">
                  <c:v>7.6999999999999999E-2</c:v>
                </c:pt>
                <c:pt idx="4">
                  <c:v>8.9999999999999993E-3</c:v>
                </c:pt>
                <c:pt idx="5">
                  <c:v>4.0000000000000001E-3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dp_correlation!$U$41:$U$46</c:f>
              <c:numCache>
                <c:formatCode>General</c:formatCode>
                <c:ptCount val="6"/>
                <c:pt idx="0">
                  <c:v>4.5701881461758277E-2</c:v>
                </c:pt>
                <c:pt idx="1">
                  <c:v>3.2346985038676793E-2</c:v>
                </c:pt>
                <c:pt idx="2">
                  <c:v>2.3504487090751303E-2</c:v>
                </c:pt>
                <c:pt idx="3">
                  <c:v>1.5048780851021898E-2</c:v>
                </c:pt>
                <c:pt idx="4">
                  <c:v>4.4135857617644851E-3</c:v>
                </c:pt>
                <c:pt idx="5">
                  <c:v>2.5544944193336885E-3</c:v>
                </c:pt>
              </c:numCache>
            </c:numRef>
          </c:xVal>
          <c:yVal>
            <c:numRef>
              <c:f>dp_correlation!$X$41:$X$46</c:f>
              <c:numCache>
                <c:formatCode>General</c:formatCode>
                <c:ptCount val="6"/>
                <c:pt idx="0">
                  <c:v>0.17</c:v>
                </c:pt>
                <c:pt idx="1">
                  <c:v>5.3999999999999999E-2</c:v>
                </c:pt>
                <c:pt idx="2">
                  <c:v>2.5000000000000001E-2</c:v>
                </c:pt>
                <c:pt idx="3">
                  <c:v>1.0999999999999999E-2</c:v>
                </c:pt>
                <c:pt idx="4">
                  <c:v>1E-3</c:v>
                </c:pt>
                <c:pt idx="5">
                  <c:v>1E-3</c:v>
                </c:pt>
              </c:numCache>
            </c:numRef>
          </c:yVal>
          <c:smooth val="0"/>
        </c:ser>
        <c:ser>
          <c:idx val="0"/>
          <c:order val="0"/>
          <c:xVal>
            <c:numRef>
              <c:f>dp_correlation!$U$29:$U$34</c:f>
              <c:numCache>
                <c:formatCode>General</c:formatCode>
                <c:ptCount val="6"/>
                <c:pt idx="0">
                  <c:v>3.496124931614502E-2</c:v>
                </c:pt>
                <c:pt idx="1">
                  <c:v>2.4754840641140433E-2</c:v>
                </c:pt>
                <c:pt idx="2">
                  <c:v>1.8022972899322826E-2</c:v>
                </c:pt>
                <c:pt idx="3">
                  <c:v>1.1614924164553115E-2</c:v>
                </c:pt>
                <c:pt idx="4">
                  <c:v>3.4567687829704066E-3</c:v>
                </c:pt>
                <c:pt idx="5">
                  <c:v>1.981093593063457E-3</c:v>
                </c:pt>
              </c:numCache>
            </c:numRef>
          </c:xVal>
          <c:yVal>
            <c:numRef>
              <c:f>dp_correlation!$X$29:$X$34</c:f>
              <c:numCache>
                <c:formatCode>General</c:formatCode>
                <c:ptCount val="6"/>
                <c:pt idx="0">
                  <c:v>6.3E-2</c:v>
                </c:pt>
                <c:pt idx="1">
                  <c:v>2.1000000000000001E-2</c:v>
                </c:pt>
                <c:pt idx="2">
                  <c:v>0.01</c:v>
                </c:pt>
                <c:pt idx="3">
                  <c:v>4.0000000000000001E-3</c:v>
                </c:pt>
                <c:pt idx="4">
                  <c:v>1E-3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04256"/>
        <c:axId val="166440960"/>
      </c:scatterChart>
      <c:valAx>
        <c:axId val="164704256"/>
        <c:scaling>
          <c:orientation val="minMax"/>
          <c:max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66440960"/>
        <c:crosses val="autoZero"/>
        <c:crossBetween val="midCat"/>
      </c:valAx>
      <c:valAx>
        <c:axId val="166440960"/>
        <c:scaling>
          <c:orientation val="minMax"/>
          <c:max val="0.30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704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152400</xdr:colOff>
      <xdr:row>7</xdr:row>
      <xdr:rowOff>72390</xdr:rowOff>
    </xdr:from>
    <xdr:to>
      <xdr:col>50</xdr:col>
      <xdr:colOff>457200</xdr:colOff>
      <xdr:row>22</xdr:row>
      <xdr:rowOff>72390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0</xdr:colOff>
      <xdr:row>24</xdr:row>
      <xdr:rowOff>0</xdr:rowOff>
    </xdr:from>
    <xdr:to>
      <xdr:col>51</xdr:col>
      <xdr:colOff>304800</xdr:colOff>
      <xdr:row>39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filterMode="1"/>
  <dimension ref="A1:N322"/>
  <sheetViews>
    <sheetView zoomScaleNormal="100" workbookViewId="0">
      <selection activeCell="A87" sqref="A87:F87"/>
    </sheetView>
  </sheetViews>
  <sheetFormatPr defaultRowHeight="14.4" x14ac:dyDescent="0.3"/>
  <cols>
    <col min="1" max="3" width="15" customWidth="1"/>
    <col min="4" max="4" width="16.5546875" bestFit="1" customWidth="1"/>
    <col min="5" max="6" width="16.5546875" customWidth="1"/>
    <col min="7" max="7" width="27.44140625" customWidth="1"/>
    <col min="8" max="10" width="16.5546875" customWidth="1"/>
    <col min="11" max="11" width="10.88671875" customWidth="1"/>
    <col min="12" max="12" width="9.109375" style="53"/>
  </cols>
  <sheetData>
    <row r="1" spans="1:14" ht="15" thickBot="1" x14ac:dyDescent="0.35">
      <c r="A1" s="62" t="s">
        <v>0</v>
      </c>
      <c r="B1" s="42" t="s">
        <v>40</v>
      </c>
      <c r="C1" s="63" t="s">
        <v>124</v>
      </c>
      <c r="D1" s="64"/>
      <c r="E1" s="64"/>
      <c r="F1" s="64"/>
      <c r="G1" s="64"/>
      <c r="H1" s="65"/>
      <c r="I1" s="66" t="s">
        <v>41</v>
      </c>
      <c r="J1" s="67"/>
    </row>
    <row r="2" spans="1:14" ht="15" thickBot="1" x14ac:dyDescent="0.35">
      <c r="A2" s="62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68"/>
      <c r="J2" s="69"/>
      <c r="M2" s="47"/>
      <c r="N2" t="s">
        <v>227</v>
      </c>
    </row>
    <row r="3" spans="1:14" x14ac:dyDescent="0.3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ht="15" thickBot="1" x14ac:dyDescent="0.3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ht="15" hidden="1" thickBot="1" x14ac:dyDescent="0.35">
      <c r="A5" s="16">
        <v>15</v>
      </c>
      <c r="B5" s="16" t="s">
        <v>24</v>
      </c>
      <c r="C5" s="15" t="s">
        <v>22</v>
      </c>
      <c r="D5" s="17" t="s">
        <v>325</v>
      </c>
      <c r="E5" s="18">
        <v>7</v>
      </c>
      <c r="F5" s="18" t="s">
        <v>350</v>
      </c>
      <c r="G5" s="17" t="s">
        <v>326</v>
      </c>
      <c r="H5" s="17"/>
      <c r="I5" s="15"/>
      <c r="J5" s="18"/>
      <c r="K5" s="53" t="s">
        <v>255</v>
      </c>
      <c r="N5" s="53" t="str">
        <f>CONCATENATE(C5, "--",D5,"--",F5,"--","slot ",E5)</f>
        <v>U2--FromRMSM--GORline1--slot 7</v>
      </c>
    </row>
    <row r="6" spans="1:14" ht="15" hidden="1" thickBot="1" x14ac:dyDescent="0.35">
      <c r="A6" s="56">
        <v>15</v>
      </c>
      <c r="B6" s="56" t="s">
        <v>24</v>
      </c>
      <c r="C6" s="57" t="s">
        <v>22</v>
      </c>
      <c r="D6" s="55" t="s">
        <v>325</v>
      </c>
      <c r="E6" s="18">
        <v>7</v>
      </c>
      <c r="F6" s="54" t="s">
        <v>349</v>
      </c>
      <c r="G6" s="55" t="s">
        <v>351</v>
      </c>
      <c r="H6" s="55"/>
      <c r="I6" s="15"/>
      <c r="J6" s="18"/>
      <c r="K6" s="53" t="s">
        <v>255</v>
      </c>
      <c r="N6" s="53" t="str">
        <f>CONCATENATE(C6, "--",D6,"--",F6,"--","slot ",E6)</f>
        <v>U2--FromRMSM--GORline2--slot 7</v>
      </c>
    </row>
    <row r="7" spans="1:14" ht="15" hidden="1" thickBot="1" x14ac:dyDescent="0.3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ht="15" hidden="1" thickBot="1" x14ac:dyDescent="0.3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" hidden="1" thickBot="1" x14ac:dyDescent="0.35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ht="15" hidden="1" thickBot="1" x14ac:dyDescent="0.3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ht="15" hidden="1" thickBot="1" x14ac:dyDescent="0.3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ht="15" hidden="1" thickBot="1" x14ac:dyDescent="0.3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" hidden="1" thickBot="1" x14ac:dyDescent="0.35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3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3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" thickBot="1" x14ac:dyDescent="0.35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" hidden="1" thickBot="1" x14ac:dyDescent="0.35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ht="15" hidden="1" thickBot="1" x14ac:dyDescent="0.3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ht="15" hidden="1" thickBot="1" x14ac:dyDescent="0.3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ht="15" hidden="1" thickBot="1" x14ac:dyDescent="0.3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" hidden="1" thickBot="1" x14ac:dyDescent="0.35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" hidden="1" thickBot="1" x14ac:dyDescent="0.35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" hidden="1" thickBot="1" x14ac:dyDescent="0.35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" hidden="1" thickBot="1" x14ac:dyDescent="0.35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ht="15" hidden="1" thickBot="1" x14ac:dyDescent="0.3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ht="15" hidden="1" thickBot="1" x14ac:dyDescent="0.3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ht="15" hidden="1" thickBot="1" x14ac:dyDescent="0.3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" hidden="1" thickBot="1" x14ac:dyDescent="0.35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ht="15" hidden="1" thickBot="1" x14ac:dyDescent="0.3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ht="15" hidden="1" thickBot="1" x14ac:dyDescent="0.3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ht="15" hidden="1" thickBot="1" x14ac:dyDescent="0.3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" hidden="1" thickBot="1" x14ac:dyDescent="0.35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ht="15" hidden="1" thickBot="1" x14ac:dyDescent="0.3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ht="15" hidden="1" thickBot="1" x14ac:dyDescent="0.3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ht="15" hidden="1" thickBot="1" x14ac:dyDescent="0.3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" hidden="1" thickBot="1" x14ac:dyDescent="0.35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ht="15" hidden="1" thickBot="1" x14ac:dyDescent="0.3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ht="15" hidden="1" thickBot="1" x14ac:dyDescent="0.3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ht="15" hidden="1" thickBot="1" x14ac:dyDescent="0.3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" hidden="1" thickBot="1" x14ac:dyDescent="0.35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ht="15" hidden="1" thickBot="1" x14ac:dyDescent="0.3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ht="15" hidden="1" thickBot="1" x14ac:dyDescent="0.3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ht="15" hidden="1" thickBot="1" x14ac:dyDescent="0.3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" hidden="1" thickBot="1" x14ac:dyDescent="0.35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ht="15" hidden="1" thickBot="1" x14ac:dyDescent="0.3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ht="15" hidden="1" thickBot="1" x14ac:dyDescent="0.3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" hidden="1" thickBot="1" x14ac:dyDescent="0.35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" hidden="1" thickBot="1" x14ac:dyDescent="0.35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ht="15" hidden="1" thickBot="1" x14ac:dyDescent="0.3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ht="15" hidden="1" thickBot="1" x14ac:dyDescent="0.3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ht="15" hidden="1" thickBot="1" x14ac:dyDescent="0.3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" hidden="1" thickBot="1" x14ac:dyDescent="0.35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ht="15" hidden="1" thickBot="1" x14ac:dyDescent="0.3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ht="15" hidden="1" thickBot="1" x14ac:dyDescent="0.3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ht="15" hidden="1" thickBot="1" x14ac:dyDescent="0.3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" hidden="1" thickBot="1" x14ac:dyDescent="0.35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" hidden="1" thickBot="1" x14ac:dyDescent="0.35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ht="15" hidden="1" thickBot="1" x14ac:dyDescent="0.3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ht="15" hidden="1" thickBot="1" x14ac:dyDescent="0.3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ht="15" hidden="1" thickBot="1" x14ac:dyDescent="0.3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" hidden="1" thickBot="1" x14ac:dyDescent="0.35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ht="15" hidden="1" thickBot="1" x14ac:dyDescent="0.3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" hidden="1" thickBot="1" x14ac:dyDescent="0.35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ht="15" hidden="1" thickBot="1" x14ac:dyDescent="0.3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ht="15" hidden="1" thickBot="1" x14ac:dyDescent="0.3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ht="15" hidden="1" thickBot="1" x14ac:dyDescent="0.3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" hidden="1" thickBot="1" x14ac:dyDescent="0.35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ht="15" hidden="1" thickBot="1" x14ac:dyDescent="0.3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ht="15" hidden="1" thickBot="1" x14ac:dyDescent="0.3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ht="15" hidden="1" thickBot="1" x14ac:dyDescent="0.3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" hidden="1" thickBot="1" x14ac:dyDescent="0.35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3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3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" thickBot="1" x14ac:dyDescent="0.35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3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" thickBot="1" x14ac:dyDescent="0.35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" hidden="1" thickBot="1" x14ac:dyDescent="0.35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" hidden="1" thickBot="1" x14ac:dyDescent="0.35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" hidden="1" thickBot="1" x14ac:dyDescent="0.35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" hidden="1" thickBot="1" x14ac:dyDescent="0.35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" hidden="1" thickBot="1" x14ac:dyDescent="0.35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" hidden="1" thickBot="1" x14ac:dyDescent="0.35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" hidden="1" thickBot="1" x14ac:dyDescent="0.35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" hidden="1" thickBot="1" x14ac:dyDescent="0.35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" hidden="1" thickBot="1" x14ac:dyDescent="0.35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" hidden="1" thickBot="1" x14ac:dyDescent="0.35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3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3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" thickBot="1" x14ac:dyDescent="0.35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" hidden="1" thickBot="1" x14ac:dyDescent="0.35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" hidden="1" thickBot="1" x14ac:dyDescent="0.35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" hidden="1" thickBot="1" x14ac:dyDescent="0.35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" hidden="1" thickBot="1" x14ac:dyDescent="0.35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3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" thickBot="1" x14ac:dyDescent="0.35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ht="15" thickBot="1" x14ac:dyDescent="0.3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" hidden="1" thickBot="1" x14ac:dyDescent="0.35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ht="15" thickBot="1" x14ac:dyDescent="0.3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" hidden="1" thickBot="1" x14ac:dyDescent="0.35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ht="15" thickBot="1" x14ac:dyDescent="0.3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" hidden="1" thickBot="1" x14ac:dyDescent="0.35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3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3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" thickBot="1" x14ac:dyDescent="0.35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" hidden="1" thickBot="1" x14ac:dyDescent="0.35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3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ht="15" thickBot="1" x14ac:dyDescent="0.3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ht="15" hidden="1" thickBot="1" x14ac:dyDescent="0.35">
      <c r="A108" s="16">
        <v>437</v>
      </c>
      <c r="B108" s="15" t="s">
        <v>24</v>
      </c>
      <c r="C108" s="15" t="s">
        <v>22</v>
      </c>
      <c r="D108" s="17" t="s">
        <v>325</v>
      </c>
      <c r="E108" s="18">
        <v>4</v>
      </c>
      <c r="F108" s="18" t="s">
        <v>350</v>
      </c>
      <c r="G108" s="19" t="s">
        <v>327</v>
      </c>
      <c r="H108" s="17"/>
      <c r="I108" s="41">
        <v>9841</v>
      </c>
      <c r="J108" s="18"/>
      <c r="N108" s="53" t="str">
        <f t="shared" si="1"/>
        <v>U2--FromRMSM--GORline1--slot 4</v>
      </c>
    </row>
    <row r="109" spans="1:14" ht="15" hidden="1" thickBot="1" x14ac:dyDescent="0.35">
      <c r="A109" s="56">
        <v>437</v>
      </c>
      <c r="B109" s="57" t="s">
        <v>24</v>
      </c>
      <c r="C109" s="57" t="s">
        <v>22</v>
      </c>
      <c r="D109" s="55" t="s">
        <v>325</v>
      </c>
      <c r="E109" s="18">
        <v>4</v>
      </c>
      <c r="F109" s="54" t="s">
        <v>349</v>
      </c>
      <c r="G109" s="58" t="s">
        <v>352</v>
      </c>
      <c r="H109" s="58"/>
      <c r="I109" s="41">
        <v>9841</v>
      </c>
      <c r="J109" s="18"/>
      <c r="K109" s="53" t="s">
        <v>256</v>
      </c>
      <c r="N109" s="53" t="str">
        <f t="shared" si="1"/>
        <v>U2--FromRMSM--GORline2--slot 4</v>
      </c>
    </row>
    <row r="110" spans="1:14" x14ac:dyDescent="0.3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ht="15" thickBot="1" x14ac:dyDescent="0.3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ht="15" hidden="1" thickBot="1" x14ac:dyDescent="0.35">
      <c r="A112" s="16">
        <v>439</v>
      </c>
      <c r="B112" s="15" t="s">
        <v>24</v>
      </c>
      <c r="C112" s="15" t="s">
        <v>22</v>
      </c>
      <c r="D112" s="17" t="s">
        <v>325</v>
      </c>
      <c r="E112" s="18">
        <v>1</v>
      </c>
      <c r="F112" s="18" t="s">
        <v>350</v>
      </c>
      <c r="G112" s="19" t="s">
        <v>328</v>
      </c>
      <c r="H112" s="17"/>
      <c r="I112" s="15"/>
      <c r="J112" s="18"/>
      <c r="K112" s="53" t="s">
        <v>273</v>
      </c>
      <c r="N112" s="53" t="str">
        <f t="shared" si="1"/>
        <v>U2--FromRMSM--GORline1--slot 1</v>
      </c>
    </row>
    <row r="113" spans="1:14" ht="15" hidden="1" thickBot="1" x14ac:dyDescent="0.35">
      <c r="A113" s="12">
        <v>439</v>
      </c>
      <c r="B113" s="11" t="s">
        <v>24</v>
      </c>
      <c r="C113" s="11" t="s">
        <v>22</v>
      </c>
      <c r="D113" s="13" t="s">
        <v>325</v>
      </c>
      <c r="E113" s="18">
        <v>1</v>
      </c>
      <c r="F113" s="54" t="s">
        <v>349</v>
      </c>
      <c r="G113" s="23" t="s">
        <v>353</v>
      </c>
      <c r="H113" s="13">
        <v>1</v>
      </c>
      <c r="I113" s="15"/>
      <c r="J113" s="18"/>
      <c r="K113" s="53" t="s">
        <v>273</v>
      </c>
      <c r="N113" s="53" t="str">
        <f t="shared" si="1"/>
        <v>U2--FromRMSM--GORline2--slot 1</v>
      </c>
    </row>
    <row r="114" spans="1:14" x14ac:dyDescent="0.3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ht="15" thickBot="1" x14ac:dyDescent="0.3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ht="15" hidden="1" thickBot="1" x14ac:dyDescent="0.35">
      <c r="A116" s="16">
        <v>442</v>
      </c>
      <c r="B116" s="15" t="s">
        <v>24</v>
      </c>
      <c r="C116" s="15" t="s">
        <v>22</v>
      </c>
      <c r="D116" s="17" t="s">
        <v>325</v>
      </c>
      <c r="E116" s="18">
        <v>5</v>
      </c>
      <c r="F116" s="18" t="s">
        <v>350</v>
      </c>
      <c r="G116" s="19" t="s">
        <v>329</v>
      </c>
      <c r="H116" s="17">
        <v>1</v>
      </c>
      <c r="I116" s="41">
        <v>9831</v>
      </c>
      <c r="J116" s="18"/>
      <c r="N116" s="53" t="str">
        <f t="shared" si="1"/>
        <v>U2--FromRMSM--GORline1--slot 5</v>
      </c>
    </row>
    <row r="117" spans="1:14" ht="15" hidden="1" thickBot="1" x14ac:dyDescent="0.35">
      <c r="A117" s="12">
        <v>442</v>
      </c>
      <c r="B117" s="11" t="s">
        <v>24</v>
      </c>
      <c r="C117" s="11" t="s">
        <v>22</v>
      </c>
      <c r="D117" s="13" t="s">
        <v>325</v>
      </c>
      <c r="E117" s="18">
        <v>5</v>
      </c>
      <c r="F117" s="54" t="s">
        <v>349</v>
      </c>
      <c r="G117" s="23" t="s">
        <v>355</v>
      </c>
      <c r="H117" s="13"/>
      <c r="I117" s="41">
        <v>9831</v>
      </c>
      <c r="J117" s="18"/>
      <c r="K117" s="53" t="s">
        <v>256</v>
      </c>
      <c r="N117" s="53" t="str">
        <f t="shared" si="1"/>
        <v>U2--FromRMSM--GORline2--slot 5</v>
      </c>
    </row>
    <row r="118" spans="1:14" ht="15" thickBot="1" x14ac:dyDescent="0.35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ht="15" thickBot="1" x14ac:dyDescent="0.3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" hidden="1" thickBot="1" x14ac:dyDescent="0.35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ht="15" thickBot="1" x14ac:dyDescent="0.35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" hidden="1" thickBot="1" x14ac:dyDescent="0.35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" hidden="1" thickBot="1" x14ac:dyDescent="0.35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ht="15" hidden="1" thickBot="1" x14ac:dyDescent="0.3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ht="15" hidden="1" thickBot="1" x14ac:dyDescent="0.3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ht="15" hidden="1" thickBot="1" x14ac:dyDescent="0.3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" hidden="1" thickBot="1" x14ac:dyDescent="0.35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" hidden="1" thickBot="1" x14ac:dyDescent="0.35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ht="15" hidden="1" thickBot="1" x14ac:dyDescent="0.3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ht="15" hidden="1" thickBot="1" x14ac:dyDescent="0.3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" hidden="1" thickBot="1" x14ac:dyDescent="0.35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ht="15" hidden="1" thickBot="1" x14ac:dyDescent="0.3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" hidden="1" thickBot="1" x14ac:dyDescent="0.35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3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ht="15" thickBot="1" x14ac:dyDescent="0.3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" hidden="1" thickBot="1" x14ac:dyDescent="0.35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3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" thickBot="1" x14ac:dyDescent="0.35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" hidden="1" thickBot="1" x14ac:dyDescent="0.35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3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ht="15" thickBot="1" x14ac:dyDescent="0.3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ht="15" hidden="1" thickBot="1" x14ac:dyDescent="0.35">
      <c r="A142" s="16">
        <v>818</v>
      </c>
      <c r="B142" s="15" t="s">
        <v>24</v>
      </c>
      <c r="C142" s="15" t="s">
        <v>22</v>
      </c>
      <c r="D142" s="17" t="s">
        <v>325</v>
      </c>
      <c r="E142" s="18">
        <v>6</v>
      </c>
      <c r="F142" s="18" t="s">
        <v>350</v>
      </c>
      <c r="G142" s="19" t="s">
        <v>330</v>
      </c>
      <c r="H142" s="17">
        <v>1</v>
      </c>
      <c r="I142" s="15"/>
      <c r="J142" s="18"/>
      <c r="K142" s="53" t="s">
        <v>278</v>
      </c>
      <c r="N142" s="53" t="str">
        <f t="shared" si="2"/>
        <v>U2--FromRMSM--GORline1--slot 6</v>
      </c>
    </row>
    <row r="143" spans="1:14" ht="15" hidden="1" thickBot="1" x14ac:dyDescent="0.35">
      <c r="A143" s="16">
        <v>818</v>
      </c>
      <c r="B143" s="15" t="s">
        <v>24</v>
      </c>
      <c r="C143" s="15" t="s">
        <v>22</v>
      </c>
      <c r="D143" s="17" t="s">
        <v>325</v>
      </c>
      <c r="E143" s="18">
        <v>6</v>
      </c>
      <c r="F143" s="18" t="s">
        <v>349</v>
      </c>
      <c r="G143" s="19" t="s">
        <v>354</v>
      </c>
      <c r="H143" s="17"/>
      <c r="I143" s="15"/>
      <c r="J143" s="18"/>
      <c r="K143" s="53" t="s">
        <v>278</v>
      </c>
      <c r="N143" s="53" t="str">
        <f t="shared" si="2"/>
        <v>U2--FromRMSM--GORline2--slot 6</v>
      </c>
    </row>
    <row r="144" spans="1:14" ht="15" hidden="1" thickBot="1" x14ac:dyDescent="0.35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" thickBot="1" x14ac:dyDescent="0.35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3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3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" thickBot="1" x14ac:dyDescent="0.35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3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3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" thickBot="1" x14ac:dyDescent="0.35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3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3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" thickBot="1" x14ac:dyDescent="0.35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3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ht="15" thickBot="1" x14ac:dyDescent="0.3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ht="15" hidden="1" thickBot="1" x14ac:dyDescent="0.35">
      <c r="A157" s="16">
        <v>918</v>
      </c>
      <c r="B157" s="15" t="s">
        <v>24</v>
      </c>
      <c r="C157" s="15" t="s">
        <v>22</v>
      </c>
      <c r="D157" s="17" t="s">
        <v>325</v>
      </c>
      <c r="E157" s="18">
        <v>3</v>
      </c>
      <c r="F157" s="18" t="s">
        <v>350</v>
      </c>
      <c r="G157" s="19" t="s">
        <v>331</v>
      </c>
      <c r="H157" s="17"/>
      <c r="I157" s="15"/>
      <c r="J157" s="18"/>
      <c r="K157" s="53" t="s">
        <v>281</v>
      </c>
      <c r="N157" s="53" t="str">
        <f t="shared" si="2"/>
        <v>U2--FromRMSM--GORline1--slot 3</v>
      </c>
    </row>
    <row r="158" spans="1:14" ht="15" hidden="1" thickBot="1" x14ac:dyDescent="0.35">
      <c r="A158" s="16">
        <v>918</v>
      </c>
      <c r="B158" s="15" t="s">
        <v>24</v>
      </c>
      <c r="C158" s="15" t="s">
        <v>22</v>
      </c>
      <c r="D158" s="17" t="s">
        <v>325</v>
      </c>
      <c r="E158" s="18">
        <v>3</v>
      </c>
      <c r="F158" s="18" t="s">
        <v>349</v>
      </c>
      <c r="G158" s="19" t="s">
        <v>356</v>
      </c>
      <c r="H158" s="17"/>
      <c r="I158" s="15"/>
      <c r="J158" s="18"/>
      <c r="K158" s="53" t="s">
        <v>281</v>
      </c>
      <c r="N158" s="53" t="str">
        <f t="shared" si="2"/>
        <v>U2--FromRMSM--GORline2--slot 3</v>
      </c>
    </row>
    <row r="159" spans="1:14" ht="15" thickBot="1" x14ac:dyDescent="0.3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" hidden="1" thickBot="1" x14ac:dyDescent="0.35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ht="15" thickBot="1" x14ac:dyDescent="0.3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" hidden="1" thickBot="1" x14ac:dyDescent="0.35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3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3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" thickBot="1" x14ac:dyDescent="0.35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ht="15" thickBot="1" x14ac:dyDescent="0.3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" hidden="1" thickBot="1" x14ac:dyDescent="0.35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3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ht="15" thickBot="1" x14ac:dyDescent="0.3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ht="15" hidden="1" thickBot="1" x14ac:dyDescent="0.35">
      <c r="A170" s="16">
        <v>5887</v>
      </c>
      <c r="B170" s="15" t="s">
        <v>24</v>
      </c>
      <c r="C170" s="15" t="s">
        <v>22</v>
      </c>
      <c r="D170" s="17" t="s">
        <v>325</v>
      </c>
      <c r="E170" s="18">
        <v>8</v>
      </c>
      <c r="F170" s="18" t="s">
        <v>350</v>
      </c>
      <c r="G170" s="19" t="s">
        <v>332</v>
      </c>
      <c r="H170" s="17"/>
      <c r="I170" s="15"/>
      <c r="J170" s="18"/>
      <c r="K170" s="53" t="s">
        <v>285</v>
      </c>
      <c r="N170" s="53" t="str">
        <f t="shared" si="2"/>
        <v>U2--FromRMSM--GORline1--slot 8</v>
      </c>
    </row>
    <row r="171" spans="1:14" ht="15" hidden="1" thickBot="1" x14ac:dyDescent="0.35">
      <c r="A171" s="12">
        <v>5887</v>
      </c>
      <c r="B171" s="11" t="s">
        <v>24</v>
      </c>
      <c r="C171" s="11" t="s">
        <v>22</v>
      </c>
      <c r="D171" s="13" t="s">
        <v>325</v>
      </c>
      <c r="E171" s="18">
        <v>8</v>
      </c>
      <c r="F171" s="54" t="s">
        <v>349</v>
      </c>
      <c r="G171" s="23" t="s">
        <v>358</v>
      </c>
      <c r="H171" s="13">
        <v>1</v>
      </c>
      <c r="I171" s="15"/>
      <c r="J171" s="18"/>
      <c r="K171" s="53" t="s">
        <v>285</v>
      </c>
      <c r="N171" s="53" t="str">
        <f t="shared" si="2"/>
        <v>U2--FromRMSM--GORline2--slot 8</v>
      </c>
    </row>
    <row r="172" spans="1:14" x14ac:dyDescent="0.3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ht="15" thickBot="1" x14ac:dyDescent="0.3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ht="15" hidden="1" thickBot="1" x14ac:dyDescent="0.35">
      <c r="A174" s="16">
        <v>9805</v>
      </c>
      <c r="B174" s="15" t="s">
        <v>24</v>
      </c>
      <c r="C174" s="15" t="s">
        <v>22</v>
      </c>
      <c r="D174" s="17" t="s">
        <v>325</v>
      </c>
      <c r="E174" s="18">
        <v>9</v>
      </c>
      <c r="F174" s="18" t="s">
        <v>350</v>
      </c>
      <c r="G174" s="19" t="s">
        <v>333</v>
      </c>
      <c r="H174" s="17"/>
      <c r="I174" s="15"/>
      <c r="J174" s="18"/>
      <c r="K174" s="53" t="s">
        <v>286</v>
      </c>
      <c r="N174" s="53" t="str">
        <f t="shared" si="2"/>
        <v>U2--FromRMSM--GORline1--slot 9</v>
      </c>
    </row>
    <row r="175" spans="1:14" ht="15" hidden="1" thickBot="1" x14ac:dyDescent="0.35">
      <c r="A175" s="12">
        <v>9805</v>
      </c>
      <c r="B175" s="11" t="s">
        <v>24</v>
      </c>
      <c r="C175" s="11" t="s">
        <v>22</v>
      </c>
      <c r="D175" s="13" t="s">
        <v>325</v>
      </c>
      <c r="E175" s="18">
        <v>9</v>
      </c>
      <c r="F175" s="54" t="s">
        <v>349</v>
      </c>
      <c r="G175" s="23" t="s">
        <v>357</v>
      </c>
      <c r="H175" s="13">
        <v>1</v>
      </c>
      <c r="I175" s="15"/>
      <c r="J175" s="18"/>
      <c r="K175" s="53" t="s">
        <v>286</v>
      </c>
      <c r="N175" s="53" t="str">
        <f t="shared" si="2"/>
        <v>U2--FromRMSM--GORline2--slot 9</v>
      </c>
    </row>
    <row r="176" spans="1:14" ht="15" hidden="1" thickBot="1" x14ac:dyDescent="0.3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" hidden="1" thickBot="1" x14ac:dyDescent="0.35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3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3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ht="15" thickBot="1" x14ac:dyDescent="0.3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" hidden="1" thickBot="1" x14ac:dyDescent="0.35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3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ht="15" thickBot="1" x14ac:dyDescent="0.3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ht="15" hidden="1" thickBot="1" x14ac:dyDescent="0.35">
      <c r="A184" s="16">
        <v>9808</v>
      </c>
      <c r="B184" s="15" t="s">
        <v>24</v>
      </c>
      <c r="C184" s="15" t="s">
        <v>22</v>
      </c>
      <c r="D184" s="17" t="s">
        <v>325</v>
      </c>
      <c r="E184" s="18">
        <v>2</v>
      </c>
      <c r="F184" s="18" t="s">
        <v>350</v>
      </c>
      <c r="G184" s="19" t="s">
        <v>334</v>
      </c>
      <c r="H184" s="17"/>
      <c r="I184" s="15"/>
      <c r="J184" s="18"/>
      <c r="K184" s="53" t="s">
        <v>288</v>
      </c>
      <c r="N184" s="53" t="str">
        <f t="shared" si="2"/>
        <v>U2--FromRMSM--GORline1--slot 2</v>
      </c>
    </row>
    <row r="185" spans="1:14" ht="15" hidden="1" thickBot="1" x14ac:dyDescent="0.35">
      <c r="A185" s="12">
        <v>9808</v>
      </c>
      <c r="B185" s="11" t="s">
        <v>24</v>
      </c>
      <c r="C185" s="11" t="s">
        <v>22</v>
      </c>
      <c r="D185" s="13" t="s">
        <v>325</v>
      </c>
      <c r="E185" s="18">
        <v>2</v>
      </c>
      <c r="F185" s="54" t="s">
        <v>349</v>
      </c>
      <c r="G185" s="23" t="s">
        <v>359</v>
      </c>
      <c r="H185" s="23">
        <v>1</v>
      </c>
      <c r="I185" s="15"/>
      <c r="J185" s="18"/>
      <c r="K185" s="53" t="s">
        <v>288</v>
      </c>
      <c r="N185" s="53" t="str">
        <f t="shared" si="2"/>
        <v>U2--FromRMSM--GORline2--slot 2</v>
      </c>
    </row>
    <row r="186" spans="1:14" ht="15" thickBot="1" x14ac:dyDescent="0.35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3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" thickBot="1" x14ac:dyDescent="0.35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3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3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" thickBot="1" x14ac:dyDescent="0.35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3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3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" thickBot="1" x14ac:dyDescent="0.35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hidden="1" x14ac:dyDescent="0.3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hidden="1" x14ac:dyDescent="0.3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" hidden="1" thickBot="1" x14ac:dyDescent="0.35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" thickBot="1" x14ac:dyDescent="0.35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3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ht="15" thickBot="1" x14ac:dyDescent="0.3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ht="15" hidden="1" thickBot="1" x14ac:dyDescent="0.35">
      <c r="A201" s="16">
        <v>9815</v>
      </c>
      <c r="B201" s="15" t="s">
        <v>24</v>
      </c>
      <c r="C201" s="15" t="s">
        <v>22</v>
      </c>
      <c r="D201" s="17" t="s">
        <v>325</v>
      </c>
      <c r="E201" s="18">
        <v>10</v>
      </c>
      <c r="F201" s="18" t="s">
        <v>350</v>
      </c>
      <c r="G201" s="19" t="s">
        <v>335</v>
      </c>
      <c r="H201" s="17"/>
      <c r="I201" s="15"/>
      <c r="J201" s="18"/>
      <c r="K201" s="53" t="s">
        <v>291</v>
      </c>
      <c r="N201" s="53" t="str">
        <f t="shared" si="2"/>
        <v>U2--FromRMSM--GORline1--slot 10</v>
      </c>
    </row>
    <row r="202" spans="1:14" ht="15" hidden="1" thickBot="1" x14ac:dyDescent="0.35">
      <c r="A202" s="12">
        <v>9815</v>
      </c>
      <c r="B202" s="11" t="s">
        <v>24</v>
      </c>
      <c r="C202" s="11" t="s">
        <v>22</v>
      </c>
      <c r="D202" s="13" t="s">
        <v>325</v>
      </c>
      <c r="E202" s="18">
        <v>10</v>
      </c>
      <c r="F202" s="54" t="s">
        <v>349</v>
      </c>
      <c r="G202" s="23" t="s">
        <v>360</v>
      </c>
      <c r="H202" s="23">
        <v>1</v>
      </c>
      <c r="I202" s="15"/>
      <c r="J202" s="18"/>
      <c r="K202" s="53" t="s">
        <v>291</v>
      </c>
      <c r="N202" s="53" t="str">
        <f t="shared" si="2"/>
        <v>U2--FromRMSM--GORline2--slot 10</v>
      </c>
    </row>
    <row r="203" spans="1:14" x14ac:dyDescent="0.3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3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3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3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3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" thickBot="1" x14ac:dyDescent="0.35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ht="15" hidden="1" thickBot="1" x14ac:dyDescent="0.3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ht="15" hidden="1" thickBot="1" x14ac:dyDescent="0.3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ht="15" hidden="1" thickBot="1" x14ac:dyDescent="0.3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" hidden="1" thickBot="1" x14ac:dyDescent="0.35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3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3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" thickBot="1" x14ac:dyDescent="0.35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ht="15" hidden="1" thickBot="1" x14ac:dyDescent="0.3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ht="15" hidden="1" thickBot="1" x14ac:dyDescent="0.3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" hidden="1" thickBot="1" x14ac:dyDescent="0.35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3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3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" thickBot="1" x14ac:dyDescent="0.35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ht="15" hidden="1" thickBot="1" x14ac:dyDescent="0.3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ht="15" hidden="1" thickBot="1" x14ac:dyDescent="0.3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ht="15" hidden="1" thickBot="1" x14ac:dyDescent="0.3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" hidden="1" thickBot="1" x14ac:dyDescent="0.35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3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3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" thickBot="1" x14ac:dyDescent="0.35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3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ht="15" thickBot="1" x14ac:dyDescent="0.3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" hidden="1" thickBot="1" x14ac:dyDescent="0.35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3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" thickBot="1" x14ac:dyDescent="0.35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3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3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" thickBot="1" x14ac:dyDescent="0.35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3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3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" thickBot="1" x14ac:dyDescent="0.35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3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3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" thickBot="1" x14ac:dyDescent="0.35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" thickBot="1" x14ac:dyDescent="0.35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3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3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" thickBot="1" x14ac:dyDescent="0.35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3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3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" thickBot="1" x14ac:dyDescent="0.35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3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ht="15" thickBot="1" x14ac:dyDescent="0.3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ht="15" hidden="1" thickBot="1" x14ac:dyDescent="0.35">
      <c r="A252" s="16">
        <v>9831</v>
      </c>
      <c r="B252" s="15" t="s">
        <v>24</v>
      </c>
      <c r="C252" s="15" t="s">
        <v>22</v>
      </c>
      <c r="D252" s="17" t="s">
        <v>325</v>
      </c>
      <c r="E252" s="18">
        <v>5</v>
      </c>
      <c r="F252" s="18" t="s">
        <v>350</v>
      </c>
      <c r="G252" s="17" t="s">
        <v>329</v>
      </c>
      <c r="H252" s="17">
        <v>1</v>
      </c>
      <c r="I252" s="41">
        <v>442</v>
      </c>
      <c r="J252" s="18"/>
      <c r="N252" s="53" t="str">
        <f t="shared" si="3"/>
        <v>U2--FromRMSM--GORline1--slot 5</v>
      </c>
    </row>
    <row r="253" spans="1:14" ht="15" hidden="1" thickBot="1" x14ac:dyDescent="0.35">
      <c r="A253" s="12">
        <v>9831</v>
      </c>
      <c r="B253" s="11" t="s">
        <v>24</v>
      </c>
      <c r="C253" s="11" t="s">
        <v>22</v>
      </c>
      <c r="D253" s="13" t="s">
        <v>325</v>
      </c>
      <c r="E253" s="18">
        <v>5</v>
      </c>
      <c r="F253" s="54" t="s">
        <v>349</v>
      </c>
      <c r="G253" s="13" t="s">
        <v>355</v>
      </c>
      <c r="H253" s="13"/>
      <c r="I253" s="41">
        <v>442</v>
      </c>
      <c r="J253" s="18"/>
      <c r="K253" s="53" t="s">
        <v>256</v>
      </c>
      <c r="N253" s="53" t="str">
        <f t="shared" si="3"/>
        <v>U2--FromRMSM--GORline2--slot 5</v>
      </c>
    </row>
    <row r="254" spans="1:14" x14ac:dyDescent="0.3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3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" thickBot="1" x14ac:dyDescent="0.35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" thickBot="1" x14ac:dyDescent="0.35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3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3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3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3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3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" thickBot="1" x14ac:dyDescent="0.35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3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3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2" si="4">CONCATENATE(C265, "--",D265,"--",F265,"--","slot ",E265)</f>
        <v>KPC--RMSJ--TL1--slot 10</v>
      </c>
    </row>
    <row r="266" spans="1:14" ht="15" thickBot="1" x14ac:dyDescent="0.35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ht="15" thickBot="1" x14ac:dyDescent="0.3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direct----slot 4</v>
      </c>
    </row>
    <row r="268" spans="1:14" ht="15" hidden="1" thickBot="1" x14ac:dyDescent="0.35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U3--DIRECT----slot 5,36</v>
      </c>
    </row>
    <row r="269" spans="1:14" x14ac:dyDescent="0.3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3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" thickBot="1" x14ac:dyDescent="0.35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ht="15" hidden="1" thickBot="1" x14ac:dyDescent="0.3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ht="15" hidden="1" thickBot="1" x14ac:dyDescent="0.3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" hidden="1" thickBot="1" x14ac:dyDescent="0.35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3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3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" thickBot="1" x14ac:dyDescent="0.35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ht="15" hidden="1" thickBot="1" x14ac:dyDescent="0.3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ht="15" hidden="1" thickBot="1" x14ac:dyDescent="0.3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" hidden="1" thickBot="1" x14ac:dyDescent="0.35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3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ht="15" thickBot="1" x14ac:dyDescent="0.3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ht="15" hidden="1" thickBot="1" x14ac:dyDescent="0.35">
      <c r="A283" s="16">
        <v>9841</v>
      </c>
      <c r="B283" s="16" t="s">
        <v>24</v>
      </c>
      <c r="C283" s="15" t="s">
        <v>22</v>
      </c>
      <c r="D283" s="17" t="s">
        <v>325</v>
      </c>
      <c r="E283" s="18">
        <v>4</v>
      </c>
      <c r="F283" s="18" t="s">
        <v>350</v>
      </c>
      <c r="G283" s="17" t="s">
        <v>327</v>
      </c>
      <c r="H283" s="17"/>
      <c r="I283" s="49">
        <v>437</v>
      </c>
      <c r="J283" s="18"/>
      <c r="N283" s="53" t="str">
        <f t="shared" si="4"/>
        <v>U2--FromRMSM--GORline1--slot 4</v>
      </c>
    </row>
    <row r="284" spans="1:14" ht="15" hidden="1" thickBot="1" x14ac:dyDescent="0.35">
      <c r="A284" s="12">
        <v>9841</v>
      </c>
      <c r="B284" s="12" t="s">
        <v>24</v>
      </c>
      <c r="C284" s="11" t="s">
        <v>22</v>
      </c>
      <c r="D284" s="13" t="s">
        <v>325</v>
      </c>
      <c r="E284" s="18">
        <v>4</v>
      </c>
      <c r="F284" s="54" t="s">
        <v>349</v>
      </c>
      <c r="G284" s="23" t="s">
        <v>352</v>
      </c>
      <c r="H284" s="23"/>
      <c r="I284" s="49">
        <v>437</v>
      </c>
      <c r="J284" s="18"/>
      <c r="K284" s="53" t="s">
        <v>256</v>
      </c>
      <c r="N284" s="53" t="str">
        <f t="shared" si="4"/>
        <v>U2--FromRMSM--GORline2--slot 4</v>
      </c>
    </row>
    <row r="285" spans="1:14" ht="15" hidden="1" thickBot="1" x14ac:dyDescent="0.3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ht="15" hidden="1" thickBot="1" x14ac:dyDescent="0.3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" hidden="1" thickBot="1" x14ac:dyDescent="0.35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ht="15" hidden="1" thickBot="1" x14ac:dyDescent="0.3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ht="15" hidden="1" thickBot="1" x14ac:dyDescent="0.3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" hidden="1" thickBot="1" x14ac:dyDescent="0.35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3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3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" thickBot="1" x14ac:dyDescent="0.35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ht="15" thickBot="1" x14ac:dyDescent="0.3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direct----slot 5</v>
      </c>
    </row>
    <row r="295" spans="1:14" ht="15" hidden="1" thickBot="1" x14ac:dyDescent="0.35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U3--DIRECT----slot 5,36</v>
      </c>
    </row>
    <row r="296" spans="1:14" ht="15" thickBot="1" x14ac:dyDescent="0.35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" thickBot="1" x14ac:dyDescent="0.35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" thickBot="1" x14ac:dyDescent="0.35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" thickBot="1" x14ac:dyDescent="0.35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3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3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ht="15" thickBot="1" x14ac:dyDescent="0.3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" hidden="1" thickBot="1" x14ac:dyDescent="0.35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3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3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" thickBot="1" x14ac:dyDescent="0.35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3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3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" thickBot="1" x14ac:dyDescent="0.35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3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340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3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341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" thickBot="1" x14ac:dyDescent="0.35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342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3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343</v>
      </c>
      <c r="H313" s="9"/>
      <c r="I313" s="15"/>
      <c r="J313" s="18"/>
      <c r="K313" s="53" t="s">
        <v>346</v>
      </c>
      <c r="N313" s="53" t="str">
        <f t="shared" si="4"/>
        <v>KPC--RMSY--TL1--slot 2</v>
      </c>
    </row>
    <row r="314" spans="1:14" s="53" customFormat="1" x14ac:dyDescent="0.3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344</v>
      </c>
      <c r="H314" s="17"/>
      <c r="I314" s="15"/>
      <c r="J314" s="18"/>
      <c r="K314" s="53" t="s">
        <v>346</v>
      </c>
      <c r="N314" s="53" t="str">
        <f t="shared" si="4"/>
        <v>KPC--RMSY--TL2--slot 2</v>
      </c>
    </row>
    <row r="315" spans="1:14" s="53" customFormat="1" ht="15" thickBot="1" x14ac:dyDescent="0.35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345</v>
      </c>
      <c r="H315" s="55"/>
      <c r="I315" s="15"/>
      <c r="J315" s="18"/>
      <c r="K315" s="53" t="s">
        <v>346</v>
      </c>
      <c r="N315" s="53" t="str">
        <f t="shared" si="4"/>
        <v>KPC--RMSY--TEST--slot 2</v>
      </c>
    </row>
    <row r="316" spans="1:14" s="53" customFormat="1" x14ac:dyDescent="0.3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336</v>
      </c>
      <c r="H316" s="9"/>
      <c r="I316" s="15"/>
      <c r="J316" s="18"/>
      <c r="K316" s="53" t="s">
        <v>339</v>
      </c>
      <c r="N316" s="53" t="str">
        <f t="shared" si="4"/>
        <v>KPC--RMSY--TL1--slot 8</v>
      </c>
    </row>
    <row r="317" spans="1:14" s="53" customFormat="1" x14ac:dyDescent="0.3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337</v>
      </c>
      <c r="H317" s="17"/>
      <c r="I317" s="15"/>
      <c r="J317" s="18"/>
      <c r="K317" s="53" t="s">
        <v>339</v>
      </c>
      <c r="N317" s="53" t="str">
        <f t="shared" si="4"/>
        <v>KPC--RMSY--TL2--slot 8</v>
      </c>
    </row>
    <row r="318" spans="1:14" s="53" customFormat="1" ht="15" thickBot="1" x14ac:dyDescent="0.35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338</v>
      </c>
      <c r="H318" s="55">
        <v>1</v>
      </c>
      <c r="I318" s="15"/>
      <c r="J318" s="18"/>
      <c r="K318" s="53" t="s">
        <v>339</v>
      </c>
      <c r="N318" s="53" t="str">
        <f t="shared" si="4"/>
        <v>KPC--RMSY--TEST--slot 8</v>
      </c>
    </row>
    <row r="319" spans="1:14" s="53" customFormat="1" ht="15" thickBot="1" x14ac:dyDescent="0.35">
      <c r="A319" s="56">
        <v>9856</v>
      </c>
      <c r="B319" s="57" t="s">
        <v>21</v>
      </c>
      <c r="C319" s="57" t="s">
        <v>21</v>
      </c>
      <c r="D319" s="55" t="s">
        <v>34</v>
      </c>
      <c r="E319" s="54">
        <v>27</v>
      </c>
      <c r="F319" s="55"/>
      <c r="G319" s="5" t="s">
        <v>348</v>
      </c>
      <c r="H319" s="55">
        <v>1</v>
      </c>
      <c r="I319" s="15">
        <v>9847</v>
      </c>
      <c r="J319" s="18"/>
      <c r="K319" s="53" t="s">
        <v>347</v>
      </c>
      <c r="N319" s="53" t="str">
        <f t="shared" ref="N319" si="5">CONCATENATE(C319, "--",D319,"--",F319,"--","slot ",E319)</f>
        <v>KPC--EOPS direct----slot 27</v>
      </c>
    </row>
    <row r="320" spans="1:14" ht="15" thickBot="1" x14ac:dyDescent="0.35">
      <c r="A320" s="8" t="s">
        <v>17</v>
      </c>
      <c r="B320" s="7" t="s">
        <v>23</v>
      </c>
      <c r="C320" s="7" t="s">
        <v>21</v>
      </c>
      <c r="D320" s="9" t="s">
        <v>34</v>
      </c>
      <c r="E320" s="10">
        <v>7</v>
      </c>
      <c r="F320" s="9"/>
      <c r="G320" s="20" t="s">
        <v>122</v>
      </c>
      <c r="H320" s="9"/>
      <c r="I320" s="15"/>
      <c r="J320" s="18"/>
      <c r="K320" s="53" t="s">
        <v>307</v>
      </c>
      <c r="N320" s="53" t="str">
        <f t="shared" si="4"/>
        <v>KPC--EOPS direct----slot 7</v>
      </c>
    </row>
    <row r="321" spans="1:14" ht="15" hidden="1" thickBot="1" x14ac:dyDescent="0.35">
      <c r="A321" s="12" t="s">
        <v>17</v>
      </c>
      <c r="B321" s="11" t="s">
        <v>23</v>
      </c>
      <c r="C321" s="11" t="s">
        <v>20</v>
      </c>
      <c r="D321" s="13" t="s">
        <v>28</v>
      </c>
      <c r="E321" s="14" t="s">
        <v>33</v>
      </c>
      <c r="F321" s="13"/>
      <c r="G321" s="23" t="s">
        <v>121</v>
      </c>
      <c r="H321" s="13">
        <v>1</v>
      </c>
      <c r="I321" s="15"/>
      <c r="J321" s="18"/>
      <c r="K321" s="53" t="s">
        <v>307</v>
      </c>
      <c r="N321" s="53" t="str">
        <f t="shared" si="4"/>
        <v>U3--DIRECT----slot 5,36</v>
      </c>
    </row>
    <row r="322" spans="1:14" ht="15" thickBot="1" x14ac:dyDescent="0.35">
      <c r="A322" s="24" t="s">
        <v>18</v>
      </c>
      <c r="B322" s="4" t="s">
        <v>21</v>
      </c>
      <c r="C322" s="4" t="s">
        <v>21</v>
      </c>
      <c r="D322" s="5" t="s">
        <v>34</v>
      </c>
      <c r="E322" s="6">
        <v>20</v>
      </c>
      <c r="F322" s="5"/>
      <c r="G322" s="25"/>
      <c r="H322" s="5">
        <v>1</v>
      </c>
      <c r="I322" s="11"/>
      <c r="J322" s="14"/>
      <c r="K322" t="s">
        <v>308</v>
      </c>
      <c r="N322" s="53" t="str">
        <f t="shared" si="4"/>
        <v>KPC--EOPS direct----slot 20</v>
      </c>
    </row>
  </sheetData>
  <autoFilter ref="A2:N322">
    <filterColumn colId="2">
      <filters>
        <filter val="KPC"/>
      </filters>
    </filterColumn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</cols>
  <sheetData>
    <row r="1" spans="1:1" x14ac:dyDescent="0.3">
      <c r="A1" s="60" t="s">
        <v>324</v>
      </c>
    </row>
    <row r="2" spans="1:1" x14ac:dyDescent="0.3">
      <c r="A2" s="61">
        <v>15</v>
      </c>
    </row>
    <row r="3" spans="1:1" x14ac:dyDescent="0.3">
      <c r="A3" s="61" t="s">
        <v>1</v>
      </c>
    </row>
    <row r="4" spans="1:1" x14ac:dyDescent="0.3">
      <c r="A4" s="61">
        <v>116</v>
      </c>
    </row>
    <row r="5" spans="1:1" x14ac:dyDescent="0.3">
      <c r="A5" s="61">
        <v>117</v>
      </c>
    </row>
    <row r="6" spans="1:1" x14ac:dyDescent="0.3">
      <c r="A6" s="61">
        <v>118</v>
      </c>
    </row>
    <row r="7" spans="1:1" x14ac:dyDescent="0.3">
      <c r="A7" s="61">
        <v>121</v>
      </c>
    </row>
    <row r="8" spans="1:1" x14ac:dyDescent="0.3">
      <c r="A8" s="61" t="s">
        <v>2</v>
      </c>
    </row>
    <row r="9" spans="1:1" x14ac:dyDescent="0.3">
      <c r="A9" s="61" t="s">
        <v>3</v>
      </c>
    </row>
    <row r="10" spans="1:1" x14ac:dyDescent="0.3">
      <c r="A10" s="61">
        <v>145</v>
      </c>
    </row>
    <row r="11" spans="1:1" x14ac:dyDescent="0.3">
      <c r="A11" s="61">
        <v>152</v>
      </c>
    </row>
    <row r="12" spans="1:1" x14ac:dyDescent="0.3">
      <c r="A12" s="61">
        <v>153</v>
      </c>
    </row>
    <row r="13" spans="1:1" x14ac:dyDescent="0.3">
      <c r="A13" s="61">
        <v>154</v>
      </c>
    </row>
    <row r="14" spans="1:1" x14ac:dyDescent="0.3">
      <c r="A14" s="61">
        <v>162</v>
      </c>
    </row>
    <row r="15" spans="1:1" x14ac:dyDescent="0.3">
      <c r="A15" s="61">
        <v>167</v>
      </c>
    </row>
    <row r="16" spans="1:1" x14ac:dyDescent="0.3">
      <c r="A16" s="61">
        <v>168</v>
      </c>
    </row>
    <row r="17" spans="1:1" x14ac:dyDescent="0.3">
      <c r="A17" s="61">
        <v>171</v>
      </c>
    </row>
    <row r="18" spans="1:1" x14ac:dyDescent="0.3">
      <c r="A18" s="61" t="s">
        <v>4</v>
      </c>
    </row>
    <row r="19" spans="1:1" x14ac:dyDescent="0.3">
      <c r="A19" s="61">
        <v>203</v>
      </c>
    </row>
    <row r="20" spans="1:1" x14ac:dyDescent="0.3">
      <c r="A20" s="61">
        <v>205</v>
      </c>
    </row>
    <row r="21" spans="1:1" x14ac:dyDescent="0.3">
      <c r="A21" s="61">
        <v>209</v>
      </c>
    </row>
    <row r="22" spans="1:1" x14ac:dyDescent="0.3">
      <c r="A22" s="61">
        <v>214</v>
      </c>
    </row>
    <row r="23" spans="1:1" x14ac:dyDescent="0.3">
      <c r="A23" s="61">
        <v>216</v>
      </c>
    </row>
    <row r="24" spans="1:1" x14ac:dyDescent="0.3">
      <c r="A24" s="61">
        <v>220</v>
      </c>
    </row>
    <row r="25" spans="1:1" x14ac:dyDescent="0.3">
      <c r="A25" s="61">
        <v>223</v>
      </c>
    </row>
    <row r="26" spans="1:1" x14ac:dyDescent="0.3">
      <c r="A26" s="61">
        <v>231</v>
      </c>
    </row>
    <row r="27" spans="1:1" x14ac:dyDescent="0.3">
      <c r="A27" s="61">
        <v>233</v>
      </c>
    </row>
    <row r="28" spans="1:1" x14ac:dyDescent="0.3">
      <c r="A28" s="61">
        <v>239</v>
      </c>
    </row>
    <row r="29" spans="1:1" x14ac:dyDescent="0.3">
      <c r="A29" s="61">
        <v>243</v>
      </c>
    </row>
    <row r="30" spans="1:1" x14ac:dyDescent="0.3">
      <c r="A30" s="61">
        <v>306</v>
      </c>
    </row>
    <row r="31" spans="1:1" x14ac:dyDescent="0.3">
      <c r="A31" s="61">
        <v>308</v>
      </c>
    </row>
    <row r="32" spans="1:1" x14ac:dyDescent="0.3">
      <c r="A32" s="61">
        <v>310</v>
      </c>
    </row>
    <row r="33" spans="1:1" x14ac:dyDescent="0.3">
      <c r="A33" s="61">
        <v>313</v>
      </c>
    </row>
    <row r="34" spans="1:1" x14ac:dyDescent="0.3">
      <c r="A34" s="61">
        <v>314</v>
      </c>
    </row>
    <row r="35" spans="1:1" x14ac:dyDescent="0.3">
      <c r="A35" s="61">
        <v>319</v>
      </c>
    </row>
    <row r="36" spans="1:1" x14ac:dyDescent="0.3">
      <c r="A36" s="61">
        <v>320</v>
      </c>
    </row>
    <row r="37" spans="1:1" x14ac:dyDescent="0.3">
      <c r="A37" s="61">
        <v>322</v>
      </c>
    </row>
    <row r="38" spans="1:1" x14ac:dyDescent="0.3">
      <c r="A38" s="61">
        <v>323</v>
      </c>
    </row>
    <row r="39" spans="1:1" x14ac:dyDescent="0.3">
      <c r="A39" s="61">
        <v>324</v>
      </c>
    </row>
    <row r="40" spans="1:1" x14ac:dyDescent="0.3">
      <c r="A40" s="61">
        <v>326</v>
      </c>
    </row>
    <row r="41" spans="1:1" x14ac:dyDescent="0.3">
      <c r="A41" s="61">
        <v>328</v>
      </c>
    </row>
    <row r="42" spans="1:1" x14ac:dyDescent="0.3">
      <c r="A42" s="61">
        <v>340</v>
      </c>
    </row>
    <row r="43" spans="1:1" x14ac:dyDescent="0.3">
      <c r="A43" s="61">
        <v>346</v>
      </c>
    </row>
    <row r="44" spans="1:1" x14ac:dyDescent="0.3">
      <c r="A44" s="61">
        <v>347</v>
      </c>
    </row>
    <row r="45" spans="1:1" x14ac:dyDescent="0.3">
      <c r="A45" s="61">
        <v>348</v>
      </c>
    </row>
    <row r="46" spans="1:1" x14ac:dyDescent="0.3">
      <c r="A46" s="61">
        <v>351</v>
      </c>
    </row>
    <row r="47" spans="1:1" x14ac:dyDescent="0.3">
      <c r="A47" s="61">
        <v>408</v>
      </c>
    </row>
    <row r="48" spans="1:1" x14ac:dyDescent="0.3">
      <c r="A48" s="61">
        <v>419</v>
      </c>
    </row>
    <row r="49" spans="1:1" x14ac:dyDescent="0.3">
      <c r="A49" s="61">
        <v>420</v>
      </c>
    </row>
    <row r="50" spans="1:1" x14ac:dyDescent="0.3">
      <c r="A50" s="61">
        <v>423</v>
      </c>
    </row>
    <row r="51" spans="1:1" x14ac:dyDescent="0.3">
      <c r="A51" s="61">
        <v>430</v>
      </c>
    </row>
    <row r="52" spans="1:1" x14ac:dyDescent="0.3">
      <c r="A52" s="61">
        <v>432</v>
      </c>
    </row>
    <row r="53" spans="1:1" x14ac:dyDescent="0.3">
      <c r="A53" s="61">
        <v>437</v>
      </c>
    </row>
    <row r="54" spans="1:1" x14ac:dyDescent="0.3">
      <c r="A54" s="61">
        <v>439</v>
      </c>
    </row>
    <row r="55" spans="1:1" x14ac:dyDescent="0.3">
      <c r="A55" s="61">
        <v>442</v>
      </c>
    </row>
    <row r="56" spans="1:1" x14ac:dyDescent="0.3">
      <c r="A56" s="61">
        <v>446</v>
      </c>
    </row>
    <row r="57" spans="1:1" x14ac:dyDescent="0.3">
      <c r="A57" s="61" t="s">
        <v>5</v>
      </c>
    </row>
    <row r="58" spans="1:1" x14ac:dyDescent="0.3">
      <c r="A58" s="61">
        <v>452</v>
      </c>
    </row>
    <row r="59" spans="1:1" x14ac:dyDescent="0.3">
      <c r="A59" s="61">
        <v>605</v>
      </c>
    </row>
    <row r="60" spans="1:1" x14ac:dyDescent="0.3">
      <c r="A60" s="61">
        <v>710</v>
      </c>
    </row>
    <row r="61" spans="1:1" x14ac:dyDescent="0.3">
      <c r="A61" s="61">
        <v>711</v>
      </c>
    </row>
    <row r="62" spans="1:1" x14ac:dyDescent="0.3">
      <c r="A62" s="61">
        <v>713</v>
      </c>
    </row>
    <row r="63" spans="1:1" x14ac:dyDescent="0.3">
      <c r="A63" s="61" t="s">
        <v>6</v>
      </c>
    </row>
    <row r="64" spans="1:1" x14ac:dyDescent="0.3">
      <c r="A64" s="61">
        <v>801</v>
      </c>
    </row>
    <row r="65" spans="1:1" x14ac:dyDescent="0.3">
      <c r="A65" s="61">
        <v>803</v>
      </c>
    </row>
    <row r="66" spans="1:1" x14ac:dyDescent="0.3">
      <c r="A66" s="61">
        <v>804</v>
      </c>
    </row>
    <row r="67" spans="1:1" x14ac:dyDescent="0.3">
      <c r="A67" s="61">
        <v>806</v>
      </c>
    </row>
    <row r="68" spans="1:1" x14ac:dyDescent="0.3">
      <c r="A68" s="61">
        <v>817</v>
      </c>
    </row>
    <row r="69" spans="1:1" x14ac:dyDescent="0.3">
      <c r="A69" s="61">
        <v>818</v>
      </c>
    </row>
    <row r="70" spans="1:1" x14ac:dyDescent="0.3">
      <c r="A70" s="61">
        <v>822</v>
      </c>
    </row>
    <row r="71" spans="1:1" x14ac:dyDescent="0.3">
      <c r="A71" s="61">
        <v>827</v>
      </c>
    </row>
    <row r="72" spans="1:1" x14ac:dyDescent="0.3">
      <c r="A72" s="61">
        <v>905</v>
      </c>
    </row>
    <row r="73" spans="1:1" x14ac:dyDescent="0.3">
      <c r="A73" s="61">
        <v>910</v>
      </c>
    </row>
    <row r="74" spans="1:1" x14ac:dyDescent="0.3">
      <c r="A74" s="61">
        <v>912</v>
      </c>
    </row>
    <row r="75" spans="1:1" x14ac:dyDescent="0.3">
      <c r="A75" s="61" t="s">
        <v>7</v>
      </c>
    </row>
    <row r="76" spans="1:1" x14ac:dyDescent="0.3">
      <c r="A76" s="61">
        <v>918</v>
      </c>
    </row>
    <row r="77" spans="1:1" x14ac:dyDescent="0.3">
      <c r="A77" s="61">
        <v>920</v>
      </c>
    </row>
    <row r="78" spans="1:1" x14ac:dyDescent="0.3">
      <c r="A78" s="61" t="s">
        <v>8</v>
      </c>
    </row>
    <row r="79" spans="1:1" x14ac:dyDescent="0.3">
      <c r="A79" s="61">
        <v>5488</v>
      </c>
    </row>
    <row r="80" spans="1:1" x14ac:dyDescent="0.3">
      <c r="A80" s="61">
        <v>5790</v>
      </c>
    </row>
    <row r="81" spans="1:1" x14ac:dyDescent="0.3">
      <c r="A81" s="61" t="s">
        <v>17</v>
      </c>
    </row>
    <row r="82" spans="1:1" x14ac:dyDescent="0.3">
      <c r="A82" s="61" t="s">
        <v>18</v>
      </c>
    </row>
    <row r="83" spans="1:1" x14ac:dyDescent="0.3">
      <c r="A83" s="61">
        <v>5887</v>
      </c>
    </row>
    <row r="84" spans="1:1" x14ac:dyDescent="0.3">
      <c r="A84" s="61">
        <v>6394</v>
      </c>
    </row>
    <row r="85" spans="1:1" x14ac:dyDescent="0.3">
      <c r="A85" s="61">
        <v>9805</v>
      </c>
    </row>
    <row r="86" spans="1:1" x14ac:dyDescent="0.3">
      <c r="A86" s="61">
        <v>9806</v>
      </c>
    </row>
    <row r="87" spans="1:1" x14ac:dyDescent="0.3">
      <c r="A87" s="61">
        <v>9807</v>
      </c>
    </row>
    <row r="88" spans="1:1" x14ac:dyDescent="0.3">
      <c r="A88" s="61">
        <v>9808</v>
      </c>
    </row>
    <row r="89" spans="1:1" x14ac:dyDescent="0.3">
      <c r="A89" s="61">
        <v>9809</v>
      </c>
    </row>
    <row r="90" spans="1:1" x14ac:dyDescent="0.3">
      <c r="A90" s="61" t="s">
        <v>9</v>
      </c>
    </row>
    <row r="91" spans="1:1" x14ac:dyDescent="0.3">
      <c r="A91" s="61">
        <v>9811</v>
      </c>
    </row>
    <row r="92" spans="1:1" x14ac:dyDescent="0.3">
      <c r="A92" s="61">
        <v>9812</v>
      </c>
    </row>
    <row r="93" spans="1:1" x14ac:dyDescent="0.3">
      <c r="A93" s="61" t="s">
        <v>10</v>
      </c>
    </row>
    <row r="94" spans="1:1" x14ac:dyDescent="0.3">
      <c r="A94" s="61" t="s">
        <v>11</v>
      </c>
    </row>
    <row r="95" spans="1:1" x14ac:dyDescent="0.3">
      <c r="A95" s="61">
        <v>9815</v>
      </c>
    </row>
    <row r="96" spans="1:1" x14ac:dyDescent="0.3">
      <c r="A96" s="61" t="s">
        <v>12</v>
      </c>
    </row>
    <row r="97" spans="1:1" x14ac:dyDescent="0.3">
      <c r="A97" s="61">
        <v>9817</v>
      </c>
    </row>
    <row r="98" spans="1:1" x14ac:dyDescent="0.3">
      <c r="A98" s="61">
        <v>9818</v>
      </c>
    </row>
    <row r="99" spans="1:1" x14ac:dyDescent="0.3">
      <c r="A99" s="61">
        <v>9819</v>
      </c>
    </row>
    <row r="100" spans="1:1" x14ac:dyDescent="0.3">
      <c r="A100" s="61">
        <v>9820</v>
      </c>
    </row>
    <row r="101" spans="1:1" x14ac:dyDescent="0.3">
      <c r="A101" s="61">
        <v>9821</v>
      </c>
    </row>
    <row r="102" spans="1:1" x14ac:dyDescent="0.3">
      <c r="A102" s="61">
        <v>9822</v>
      </c>
    </row>
    <row r="103" spans="1:1" x14ac:dyDescent="0.3">
      <c r="A103" s="61">
        <v>9823</v>
      </c>
    </row>
    <row r="104" spans="1:1" x14ac:dyDescent="0.3">
      <c r="A104" s="61">
        <v>9824</v>
      </c>
    </row>
    <row r="105" spans="1:1" x14ac:dyDescent="0.3">
      <c r="A105" s="61">
        <v>9825</v>
      </c>
    </row>
    <row r="106" spans="1:1" x14ac:dyDescent="0.3">
      <c r="A106" s="61">
        <v>9826</v>
      </c>
    </row>
    <row r="107" spans="1:1" x14ac:dyDescent="0.3">
      <c r="A107" s="61">
        <v>9827</v>
      </c>
    </row>
    <row r="108" spans="1:1" x14ac:dyDescent="0.3">
      <c r="A108" s="61">
        <v>9828</v>
      </c>
    </row>
    <row r="109" spans="1:1" x14ac:dyDescent="0.3">
      <c r="A109" s="61">
        <v>9829</v>
      </c>
    </row>
    <row r="110" spans="1:1" x14ac:dyDescent="0.3">
      <c r="A110" s="61">
        <v>9830</v>
      </c>
    </row>
    <row r="111" spans="1:1" x14ac:dyDescent="0.3">
      <c r="A111" s="61">
        <v>9831</v>
      </c>
    </row>
    <row r="112" spans="1:1" x14ac:dyDescent="0.3">
      <c r="A112" s="61">
        <v>9832</v>
      </c>
    </row>
    <row r="113" spans="1:1" x14ac:dyDescent="0.3">
      <c r="A113" s="61">
        <v>9833</v>
      </c>
    </row>
    <row r="114" spans="1:1" x14ac:dyDescent="0.3">
      <c r="A114" s="61" t="s">
        <v>13</v>
      </c>
    </row>
    <row r="115" spans="1:1" x14ac:dyDescent="0.3">
      <c r="A115" s="61" t="s">
        <v>14</v>
      </c>
    </row>
    <row r="116" spans="1:1" x14ac:dyDescent="0.3">
      <c r="A116" s="61">
        <v>9836</v>
      </c>
    </row>
    <row r="117" spans="1:1" x14ac:dyDescent="0.3">
      <c r="A117" s="61">
        <v>9837</v>
      </c>
    </row>
    <row r="118" spans="1:1" x14ac:dyDescent="0.3">
      <c r="A118" s="61">
        <v>9838</v>
      </c>
    </row>
    <row r="119" spans="1:1" x14ac:dyDescent="0.3">
      <c r="A119" s="61">
        <v>9839</v>
      </c>
    </row>
    <row r="120" spans="1:1" x14ac:dyDescent="0.3">
      <c r="A120" s="61">
        <v>9840</v>
      </c>
    </row>
    <row r="121" spans="1:1" x14ac:dyDescent="0.3">
      <c r="A121" s="61">
        <v>9841</v>
      </c>
    </row>
    <row r="122" spans="1:1" x14ac:dyDescent="0.3">
      <c r="A122" s="61" t="s">
        <v>15</v>
      </c>
    </row>
    <row r="123" spans="1:1" x14ac:dyDescent="0.3">
      <c r="A123" s="61">
        <v>9843</v>
      </c>
    </row>
    <row r="124" spans="1:1" x14ac:dyDescent="0.3">
      <c r="A124" s="61" t="s">
        <v>16</v>
      </c>
    </row>
    <row r="125" spans="1:1" x14ac:dyDescent="0.3">
      <c r="A125" s="61">
        <v>9845</v>
      </c>
    </row>
    <row r="126" spans="1:1" x14ac:dyDescent="0.3">
      <c r="A126" s="61">
        <v>9846</v>
      </c>
    </row>
    <row r="127" spans="1:1" x14ac:dyDescent="0.3">
      <c r="A127" s="61">
        <v>9847</v>
      </c>
    </row>
    <row r="128" spans="1:1" x14ac:dyDescent="0.3">
      <c r="A128" s="61">
        <v>9848</v>
      </c>
    </row>
    <row r="129" spans="1:1" x14ac:dyDescent="0.3">
      <c r="A129" s="61">
        <v>9849</v>
      </c>
    </row>
    <row r="130" spans="1:1" x14ac:dyDescent="0.3">
      <c r="A130" s="61">
        <v>9850</v>
      </c>
    </row>
    <row r="131" spans="1:1" x14ac:dyDescent="0.3">
      <c r="A131" s="61">
        <v>9851</v>
      </c>
    </row>
    <row r="132" spans="1:1" x14ac:dyDescent="0.3">
      <c r="A132" s="61">
        <v>9852</v>
      </c>
    </row>
    <row r="133" spans="1:1" x14ac:dyDescent="0.3">
      <c r="A133" s="61">
        <v>9853</v>
      </c>
    </row>
    <row r="134" spans="1:1" x14ac:dyDescent="0.3">
      <c r="A134" s="61">
        <v>9854</v>
      </c>
    </row>
    <row r="135" spans="1:1" x14ac:dyDescent="0.3">
      <c r="A135" s="61">
        <v>9855</v>
      </c>
    </row>
    <row r="136" spans="1:1" x14ac:dyDescent="0.3">
      <c r="A136" s="61">
        <v>9856</v>
      </c>
    </row>
    <row r="137" spans="1:1" x14ac:dyDescent="0.3">
      <c r="A137" s="61"/>
    </row>
    <row r="138" spans="1:1" x14ac:dyDescent="0.3">
      <c r="A138" s="61"/>
    </row>
    <row r="139" spans="1:1" x14ac:dyDescent="0.3">
      <c r="A139" s="61"/>
    </row>
    <row r="140" spans="1:1" x14ac:dyDescent="0.3">
      <c r="A140" s="61"/>
    </row>
    <row r="141" spans="1:1" x14ac:dyDescent="0.3">
      <c r="A141" s="61"/>
    </row>
    <row r="142" spans="1:1" x14ac:dyDescent="0.3">
      <c r="A142" s="61"/>
    </row>
    <row r="143" spans="1:1" x14ac:dyDescent="0.3">
      <c r="A143" s="61"/>
    </row>
    <row r="144" spans="1:1" x14ac:dyDescent="0.3">
      <c r="A144" s="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>
      <selection activeCell="C32" sqref="C32"/>
    </sheetView>
  </sheetViews>
  <sheetFormatPr defaultRowHeight="14.4" x14ac:dyDescent="0.3"/>
  <sheetData>
    <row r="1" spans="1:1" x14ac:dyDescent="0.3">
      <c r="A1" t="s">
        <v>21</v>
      </c>
    </row>
    <row r="2" spans="1:1" x14ac:dyDescent="0.3">
      <c r="A2" t="s">
        <v>22</v>
      </c>
    </row>
    <row r="3" spans="1:1" x14ac:dyDescent="0.3">
      <c r="A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"/>
  <sheetViews>
    <sheetView workbookViewId="0">
      <selection activeCell="D23" sqref="D23"/>
    </sheetView>
  </sheetViews>
  <sheetFormatPr defaultRowHeight="14.4" x14ac:dyDescent="0.3"/>
  <cols>
    <col min="1" max="1" width="10.5546875" bestFit="1" customWidth="1"/>
  </cols>
  <sheetData>
    <row r="1" spans="1:1" x14ac:dyDescent="0.3">
      <c r="A1" s="17" t="s">
        <v>25</v>
      </c>
    </row>
    <row r="2" spans="1:1" x14ac:dyDescent="0.3">
      <c r="A2" s="17" t="s">
        <v>325</v>
      </c>
    </row>
    <row r="3" spans="1:1" x14ac:dyDescent="0.3">
      <c r="A3" s="17" t="s">
        <v>26</v>
      </c>
    </row>
    <row r="4" spans="1:1" x14ac:dyDescent="0.3">
      <c r="A4" s="17" t="s">
        <v>28</v>
      </c>
    </row>
    <row r="5" spans="1:1" x14ac:dyDescent="0.3">
      <c r="A5" s="17" t="s">
        <v>27</v>
      </c>
    </row>
    <row r="6" spans="1:1" x14ac:dyDescent="0.3">
      <c r="A6" s="17" t="s">
        <v>29</v>
      </c>
    </row>
    <row r="7" spans="1:1" x14ac:dyDescent="0.3">
      <c r="A7" s="17" t="s">
        <v>35</v>
      </c>
    </row>
    <row r="8" spans="1:1" x14ac:dyDescent="0.3">
      <c r="A8" s="17" t="s">
        <v>36</v>
      </c>
    </row>
    <row r="9" spans="1:1" x14ac:dyDescent="0.3">
      <c r="A9" s="17" t="s">
        <v>37</v>
      </c>
    </row>
    <row r="10" spans="1:1" x14ac:dyDescent="0.3">
      <c r="A10" s="17" t="s">
        <v>34</v>
      </c>
    </row>
    <row r="11" spans="1:1" x14ac:dyDescent="0.3">
      <c r="A11" s="17" t="s">
        <v>38</v>
      </c>
    </row>
    <row r="12" spans="1:1" x14ac:dyDescent="0.3">
      <c r="A12" s="17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6"/>
  <sheetViews>
    <sheetView workbookViewId="0">
      <selection activeCell="K28" sqref="K28"/>
    </sheetView>
  </sheetViews>
  <sheetFormatPr defaultRowHeight="14.4" x14ac:dyDescent="0.3"/>
  <sheetData>
    <row r="2" spans="1:1" x14ac:dyDescent="0.3">
      <c r="A2" t="s">
        <v>125</v>
      </c>
    </row>
    <row r="3" spans="1:1" x14ac:dyDescent="0.3">
      <c r="A3" t="s">
        <v>126</v>
      </c>
    </row>
    <row r="4" spans="1:1" x14ac:dyDescent="0.3">
      <c r="A4" t="s">
        <v>127</v>
      </c>
    </row>
    <row r="5" spans="1:1" x14ac:dyDescent="0.3">
      <c r="A5" t="s">
        <v>350</v>
      </c>
    </row>
    <row r="6" spans="1:1" x14ac:dyDescent="0.3">
      <c r="A6" t="s">
        <v>349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6"/>
  <sheetViews>
    <sheetView topLeftCell="A31" workbookViewId="0">
      <selection activeCell="B18" sqref="B18"/>
    </sheetView>
  </sheetViews>
  <sheetFormatPr defaultRowHeight="14.4" x14ac:dyDescent="0.3"/>
  <sheetData>
    <row r="1" spans="1:1" x14ac:dyDescent="0.3">
      <c r="A1">
        <v>7</v>
      </c>
    </row>
    <row r="2" spans="1:1" x14ac:dyDescent="0.3">
      <c r="A2">
        <v>16</v>
      </c>
    </row>
    <row r="3" spans="1:1" x14ac:dyDescent="0.3">
      <c r="A3">
        <v>2</v>
      </c>
    </row>
    <row r="4" spans="1:1" x14ac:dyDescent="0.3">
      <c r="A4">
        <v>23</v>
      </c>
    </row>
    <row r="5" spans="1:1" x14ac:dyDescent="0.3">
      <c r="A5">
        <v>4</v>
      </c>
    </row>
    <row r="6" spans="1:1" x14ac:dyDescent="0.3">
      <c r="A6">
        <v>33</v>
      </c>
    </row>
    <row r="7" spans="1:1" x14ac:dyDescent="0.3">
      <c r="A7">
        <v>11</v>
      </c>
    </row>
    <row r="8" spans="1:1" x14ac:dyDescent="0.3">
      <c r="A8">
        <v>8</v>
      </c>
    </row>
    <row r="9" spans="1:1" x14ac:dyDescent="0.3">
      <c r="A9">
        <v>17</v>
      </c>
    </row>
    <row r="10" spans="1:1" x14ac:dyDescent="0.3">
      <c r="A10">
        <v>9</v>
      </c>
    </row>
    <row r="11" spans="1:1" x14ac:dyDescent="0.3">
      <c r="A11">
        <v>22</v>
      </c>
    </row>
    <row r="12" spans="1:1" x14ac:dyDescent="0.3">
      <c r="A12">
        <v>5</v>
      </c>
    </row>
    <row r="13" spans="1:1" x14ac:dyDescent="0.3">
      <c r="A13">
        <v>18</v>
      </c>
    </row>
    <row r="14" spans="1:1" x14ac:dyDescent="0.3">
      <c r="A14">
        <v>26</v>
      </c>
    </row>
    <row r="15" spans="1:1" x14ac:dyDescent="0.3">
      <c r="A15">
        <v>1</v>
      </c>
    </row>
    <row r="16" spans="1:1" x14ac:dyDescent="0.3">
      <c r="A16">
        <v>10</v>
      </c>
    </row>
    <row r="17" spans="1:1" x14ac:dyDescent="0.3">
      <c r="A17">
        <v>3</v>
      </c>
    </row>
    <row r="18" spans="1:1" x14ac:dyDescent="0.3">
      <c r="A18">
        <v>31</v>
      </c>
    </row>
    <row r="19" spans="1:1" x14ac:dyDescent="0.3">
      <c r="A19">
        <v>6</v>
      </c>
    </row>
    <row r="20" spans="1:1" x14ac:dyDescent="0.3">
      <c r="A20">
        <v>12</v>
      </c>
    </row>
    <row r="21" spans="1:1" x14ac:dyDescent="0.3">
      <c r="A21">
        <v>13</v>
      </c>
    </row>
    <row r="22" spans="1:1" x14ac:dyDescent="0.3">
      <c r="A22">
        <v>14</v>
      </c>
    </row>
    <row r="23" spans="1:1" x14ac:dyDescent="0.3">
      <c r="A23">
        <v>15</v>
      </c>
    </row>
    <row r="24" spans="1:1" x14ac:dyDescent="0.3">
      <c r="A24">
        <v>27</v>
      </c>
    </row>
    <row r="25" spans="1:1" x14ac:dyDescent="0.3">
      <c r="A25" t="s">
        <v>33</v>
      </c>
    </row>
    <row r="26" spans="1:1" x14ac:dyDescent="0.3">
      <c r="A26">
        <v>9</v>
      </c>
    </row>
    <row r="27" spans="1:1" x14ac:dyDescent="0.3">
      <c r="A27">
        <v>11</v>
      </c>
    </row>
    <row r="28" spans="1:1" x14ac:dyDescent="0.3">
      <c r="A28" t="s">
        <v>33</v>
      </c>
    </row>
    <row r="29" spans="1:1" x14ac:dyDescent="0.3">
      <c r="A29">
        <v>6</v>
      </c>
    </row>
    <row r="30" spans="1:1" x14ac:dyDescent="0.3">
      <c r="A30">
        <v>14</v>
      </c>
    </row>
    <row r="31" spans="1:1" x14ac:dyDescent="0.3">
      <c r="A31">
        <v>26</v>
      </c>
    </row>
    <row r="32" spans="1:1" x14ac:dyDescent="0.3">
      <c r="A32" t="s">
        <v>33</v>
      </c>
    </row>
    <row r="33" spans="1:1" x14ac:dyDescent="0.3">
      <c r="A33">
        <v>8</v>
      </c>
    </row>
    <row r="34" spans="1:1" x14ac:dyDescent="0.3">
      <c r="A34">
        <v>9</v>
      </c>
    </row>
    <row r="35" spans="1:1" x14ac:dyDescent="0.3">
      <c r="A35">
        <v>29</v>
      </c>
    </row>
    <row r="36" spans="1:1" x14ac:dyDescent="0.3">
      <c r="A36">
        <v>21</v>
      </c>
    </row>
    <row r="37" spans="1:1" x14ac:dyDescent="0.3">
      <c r="A37">
        <v>25</v>
      </c>
    </row>
    <row r="38" spans="1:1" x14ac:dyDescent="0.3">
      <c r="A38" t="s">
        <v>33</v>
      </c>
    </row>
    <row r="39" spans="1:1" x14ac:dyDescent="0.3">
      <c r="A39">
        <v>8</v>
      </c>
    </row>
    <row r="40" spans="1:1" x14ac:dyDescent="0.3">
      <c r="A40">
        <v>10</v>
      </c>
    </row>
    <row r="41" spans="1:1" x14ac:dyDescent="0.3">
      <c r="A41" t="s">
        <v>33</v>
      </c>
    </row>
    <row r="42" spans="1:1" x14ac:dyDescent="0.3">
      <c r="A42">
        <v>27</v>
      </c>
    </row>
    <row r="43" spans="1:1" x14ac:dyDescent="0.3">
      <c r="A43">
        <v>9</v>
      </c>
    </row>
    <row r="44" spans="1:1" x14ac:dyDescent="0.3">
      <c r="A44">
        <v>29</v>
      </c>
    </row>
    <row r="45" spans="1:1" x14ac:dyDescent="0.3">
      <c r="A45" t="s">
        <v>33</v>
      </c>
    </row>
    <row r="46" spans="1:1" x14ac:dyDescent="0.3">
      <c r="A46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4"/>
  <sheetViews>
    <sheetView workbookViewId="0">
      <selection activeCell="G14" sqref="G14"/>
    </sheetView>
  </sheetViews>
  <sheetFormatPr defaultRowHeight="14.4" x14ac:dyDescent="0.3"/>
  <cols>
    <col min="2" max="2" width="8.88671875" style="53"/>
    <col min="3" max="3" width="10.33203125" bestFit="1" customWidth="1"/>
  </cols>
  <sheetData>
    <row r="1" spans="1:9" x14ac:dyDescent="0.3">
      <c r="A1" t="s">
        <v>21</v>
      </c>
      <c r="B1" s="53" t="s">
        <v>361</v>
      </c>
    </row>
    <row r="2" spans="1:9" x14ac:dyDescent="0.3">
      <c r="A2" s="53" t="s">
        <v>21</v>
      </c>
      <c r="B2" s="53" t="s">
        <v>361</v>
      </c>
      <c r="C2" t="s">
        <v>37</v>
      </c>
      <c r="D2" t="s">
        <v>125</v>
      </c>
    </row>
    <row r="3" spans="1:9" x14ac:dyDescent="0.3">
      <c r="A3" s="53" t="s">
        <v>21</v>
      </c>
      <c r="B3" s="53" t="s">
        <v>361</v>
      </c>
      <c r="C3" t="s">
        <v>37</v>
      </c>
      <c r="D3" t="s">
        <v>127</v>
      </c>
    </row>
    <row r="4" spans="1:9" x14ac:dyDescent="0.3">
      <c r="A4" s="53" t="s">
        <v>21</v>
      </c>
      <c r="B4" s="53" t="s">
        <v>361</v>
      </c>
      <c r="C4" t="s">
        <v>38</v>
      </c>
      <c r="D4" t="s">
        <v>125</v>
      </c>
      <c r="G4" t="s">
        <v>362</v>
      </c>
      <c r="H4" t="s">
        <v>364</v>
      </c>
    </row>
    <row r="5" spans="1:9" x14ac:dyDescent="0.3">
      <c r="A5" s="53" t="s">
        <v>21</v>
      </c>
      <c r="B5" s="53" t="s">
        <v>361</v>
      </c>
      <c r="C5" t="s">
        <v>38</v>
      </c>
      <c r="D5" t="s">
        <v>126</v>
      </c>
      <c r="G5" t="s">
        <v>363</v>
      </c>
    </row>
    <row r="6" spans="1:9" x14ac:dyDescent="0.3">
      <c r="A6" s="53" t="s">
        <v>21</v>
      </c>
      <c r="B6" s="53" t="s">
        <v>361</v>
      </c>
      <c r="C6" t="s">
        <v>38</v>
      </c>
      <c r="D6" t="s">
        <v>127</v>
      </c>
    </row>
    <row r="7" spans="1:9" x14ac:dyDescent="0.3">
      <c r="A7" s="53" t="s">
        <v>21</v>
      </c>
      <c r="B7" t="s">
        <v>39</v>
      </c>
      <c r="C7" t="s">
        <v>125</v>
      </c>
    </row>
    <row r="8" spans="1:9" x14ac:dyDescent="0.3">
      <c r="A8" s="53" t="s">
        <v>21</v>
      </c>
      <c r="B8" t="s">
        <v>39</v>
      </c>
      <c r="C8" t="s">
        <v>126</v>
      </c>
    </row>
    <row r="9" spans="1:9" x14ac:dyDescent="0.3">
      <c r="A9" s="53" t="s">
        <v>21</v>
      </c>
      <c r="B9" t="s">
        <v>39</v>
      </c>
      <c r="C9" t="s">
        <v>127</v>
      </c>
    </row>
    <row r="10" spans="1:9" x14ac:dyDescent="0.3">
      <c r="A10" s="53" t="s">
        <v>21</v>
      </c>
      <c r="B10" t="s">
        <v>25</v>
      </c>
      <c r="C10" t="s">
        <v>125</v>
      </c>
      <c r="G10" t="s">
        <v>365</v>
      </c>
      <c r="I10" t="s">
        <v>362</v>
      </c>
    </row>
    <row r="11" spans="1:9" x14ac:dyDescent="0.3">
      <c r="A11" s="53" t="s">
        <v>21</v>
      </c>
      <c r="B11" t="s">
        <v>25</v>
      </c>
      <c r="C11" t="s">
        <v>127</v>
      </c>
    </row>
    <row r="12" spans="1:9" x14ac:dyDescent="0.3">
      <c r="A12" s="53" t="s">
        <v>21</v>
      </c>
      <c r="B12" t="s">
        <v>27</v>
      </c>
      <c r="C12" t="s">
        <v>125</v>
      </c>
      <c r="G12" t="s">
        <v>366</v>
      </c>
    </row>
    <row r="13" spans="1:9" x14ac:dyDescent="0.3">
      <c r="A13" s="53" t="s">
        <v>21</v>
      </c>
      <c r="B13" t="s">
        <v>27</v>
      </c>
      <c r="C13" t="s">
        <v>126</v>
      </c>
      <c r="G13" t="s">
        <v>367</v>
      </c>
    </row>
    <row r="14" spans="1:9" x14ac:dyDescent="0.3">
      <c r="A14" s="53" t="s">
        <v>21</v>
      </c>
      <c r="B14" t="s">
        <v>27</v>
      </c>
      <c r="C14" t="s">
        <v>127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47"/>
  <sheetViews>
    <sheetView tabSelected="1" workbookViewId="0">
      <selection activeCell="X17" sqref="X17"/>
    </sheetView>
  </sheetViews>
  <sheetFormatPr defaultRowHeight="14.4" x14ac:dyDescent="0.3"/>
  <cols>
    <col min="4" max="4" width="11.21875" bestFit="1" customWidth="1"/>
    <col min="5" max="5" width="14.5546875" style="53" bestFit="1" customWidth="1"/>
    <col min="6" max="6" width="0" hidden="1" customWidth="1"/>
    <col min="7" max="7" width="0" style="53" hidden="1" customWidth="1"/>
    <col min="8" max="15" width="0" hidden="1" customWidth="1"/>
    <col min="16" max="17" width="12" style="53" bestFit="1" customWidth="1"/>
    <col min="18" max="18" width="8.88671875" style="53"/>
    <col min="19" max="19" width="12" style="53" bestFit="1" customWidth="1"/>
    <col min="20" max="20" width="8.88671875" style="53"/>
    <col min="21" max="21" width="12" style="53" bestFit="1" customWidth="1"/>
    <col min="25" max="26" width="0" hidden="1" customWidth="1"/>
    <col min="29" max="40" width="0" hidden="1" customWidth="1"/>
  </cols>
  <sheetData>
    <row r="1" spans="1:43" s="53" customFormat="1" x14ac:dyDescent="0.3">
      <c r="A1" s="53">
        <v>136.5</v>
      </c>
      <c r="B1" s="53" t="s">
        <v>419</v>
      </c>
      <c r="C1" s="53" t="s">
        <v>420</v>
      </c>
    </row>
    <row r="2" spans="1:43" s="53" customFormat="1" x14ac:dyDescent="0.3">
      <c r="A2" s="53" t="s">
        <v>370</v>
      </c>
      <c r="B2" s="53" t="s">
        <v>371</v>
      </c>
      <c r="C2" s="53" t="s">
        <v>372</v>
      </c>
      <c r="D2" s="53" t="s">
        <v>373</v>
      </c>
      <c r="F2" s="53" t="s">
        <v>374</v>
      </c>
      <c r="G2" s="53" t="s">
        <v>375</v>
      </c>
      <c r="H2" s="53" t="s">
        <v>376</v>
      </c>
      <c r="I2" s="53" t="s">
        <v>377</v>
      </c>
      <c r="J2" s="53" t="s">
        <v>378</v>
      </c>
      <c r="K2" s="53" t="s">
        <v>379</v>
      </c>
      <c r="L2" s="53" t="s">
        <v>380</v>
      </c>
      <c r="M2" s="53" t="s">
        <v>381</v>
      </c>
      <c r="N2" s="53" t="s">
        <v>382</v>
      </c>
      <c r="O2" s="53" t="s">
        <v>383</v>
      </c>
      <c r="V2" s="53" t="s">
        <v>384</v>
      </c>
      <c r="W2" s="53" t="s">
        <v>385</v>
      </c>
      <c r="X2" s="53" t="s">
        <v>386</v>
      </c>
      <c r="Y2" s="53" t="s">
        <v>387</v>
      </c>
      <c r="Z2" s="53" t="s">
        <v>388</v>
      </c>
      <c r="AA2" s="53" t="s">
        <v>368</v>
      </c>
      <c r="AB2" s="53" t="s">
        <v>369</v>
      </c>
      <c r="AC2" s="53" t="s">
        <v>389</v>
      </c>
      <c r="AD2" s="53" t="s">
        <v>390</v>
      </c>
      <c r="AE2" s="53" t="s">
        <v>391</v>
      </c>
      <c r="AF2" s="53" t="s">
        <v>392</v>
      </c>
      <c r="AG2" s="53" t="s">
        <v>393</v>
      </c>
      <c r="AH2" s="53" t="s">
        <v>394</v>
      </c>
      <c r="AI2" s="53" t="s">
        <v>395</v>
      </c>
      <c r="AJ2" s="53" t="s">
        <v>396</v>
      </c>
      <c r="AK2" s="53" t="s">
        <v>397</v>
      </c>
      <c r="AL2" s="53" t="s">
        <v>398</v>
      </c>
      <c r="AM2" s="53" t="s">
        <v>399</v>
      </c>
      <c r="AN2" s="53" t="s">
        <v>400</v>
      </c>
      <c r="AO2" s="53" t="s">
        <v>401</v>
      </c>
      <c r="AP2" s="53" t="s">
        <v>402</v>
      </c>
      <c r="AQ2" s="53" t="s">
        <v>403</v>
      </c>
    </row>
    <row r="3" spans="1:43" s="53" customFormat="1" x14ac:dyDescent="0.3"/>
    <row r="4" spans="1:43" s="53" customFormat="1" x14ac:dyDescent="0.3">
      <c r="A4" s="53" t="s">
        <v>404</v>
      </c>
      <c r="B4" s="53" t="s">
        <v>405</v>
      </c>
      <c r="C4" s="53" t="s">
        <v>406</v>
      </c>
      <c r="D4" s="53" t="s">
        <v>405</v>
      </c>
      <c r="E4" s="53" t="s">
        <v>475</v>
      </c>
      <c r="F4" s="53" t="s">
        <v>405</v>
      </c>
      <c r="G4" s="53" t="s">
        <v>407</v>
      </c>
      <c r="H4" s="53" t="s">
        <v>408</v>
      </c>
      <c r="I4" s="53" t="s">
        <v>408</v>
      </c>
      <c r="J4" s="53" t="s">
        <v>405</v>
      </c>
      <c r="K4" s="53" t="s">
        <v>406</v>
      </c>
      <c r="L4" s="53" t="s">
        <v>405</v>
      </c>
      <c r="M4" s="53" t="s">
        <v>405</v>
      </c>
      <c r="N4" s="53" t="s">
        <v>409</v>
      </c>
      <c r="O4" s="53" t="s">
        <v>410</v>
      </c>
      <c r="P4" s="53" t="s">
        <v>479</v>
      </c>
      <c r="Q4" s="53" t="s">
        <v>480</v>
      </c>
      <c r="R4" s="53" t="s">
        <v>474</v>
      </c>
      <c r="S4" s="53" t="s">
        <v>478</v>
      </c>
      <c r="T4" s="53" t="s">
        <v>476</v>
      </c>
      <c r="U4" s="53" t="s">
        <v>477</v>
      </c>
      <c r="V4" s="53" t="s">
        <v>404</v>
      </c>
      <c r="W4" s="53" t="s">
        <v>411</v>
      </c>
      <c r="X4" s="53" t="s">
        <v>412</v>
      </c>
      <c r="AA4" s="53" t="s">
        <v>413</v>
      </c>
      <c r="AB4" s="53" t="s">
        <v>414</v>
      </c>
      <c r="AC4" s="53" t="s">
        <v>413</v>
      </c>
      <c r="AD4" s="53" t="s">
        <v>413</v>
      </c>
      <c r="AE4" s="53" t="s">
        <v>413</v>
      </c>
      <c r="AF4" s="53" t="s">
        <v>415</v>
      </c>
      <c r="AG4" s="53" t="s">
        <v>416</v>
      </c>
      <c r="AH4" s="53" t="s">
        <v>414</v>
      </c>
      <c r="AI4" s="53" t="s">
        <v>414</v>
      </c>
      <c r="AJ4" s="53" t="s">
        <v>414</v>
      </c>
      <c r="AK4" s="53" t="s">
        <v>417</v>
      </c>
      <c r="AL4" s="53" t="s">
        <v>418</v>
      </c>
      <c r="AN4" s="53" t="s">
        <v>404</v>
      </c>
      <c r="AO4" s="53" t="s">
        <v>412</v>
      </c>
      <c r="AP4" s="53" t="s">
        <v>412</v>
      </c>
      <c r="AQ4" s="53" t="s">
        <v>412</v>
      </c>
    </row>
    <row r="5" spans="1:43" x14ac:dyDescent="0.3">
      <c r="A5">
        <v>20</v>
      </c>
      <c r="B5">
        <v>919.6</v>
      </c>
      <c r="C5">
        <v>459.81400000000002</v>
      </c>
      <c r="D5">
        <v>0</v>
      </c>
      <c r="E5" s="53">
        <v>981.28216519043519</v>
      </c>
      <c r="F5">
        <v>919.6</v>
      </c>
      <c r="G5" s="53">
        <v>0</v>
      </c>
      <c r="H5">
        <v>1131.6485</v>
      </c>
      <c r="I5">
        <v>1131.6485</v>
      </c>
      <c r="J5">
        <v>919.6</v>
      </c>
      <c r="K5">
        <v>459.81400000000002</v>
      </c>
      <c r="L5">
        <v>0</v>
      </c>
      <c r="M5">
        <v>919.6</v>
      </c>
      <c r="N5">
        <v>218.6</v>
      </c>
      <c r="O5">
        <v>1096.6712</v>
      </c>
      <c r="P5" s="53">
        <v>28.237271542444727</v>
      </c>
      <c r="Q5" s="53">
        <v>447.17753604365885</v>
      </c>
      <c r="R5" s="53">
        <f>(C5-Q5)/B5*1000</f>
        <v>13.741261370531941</v>
      </c>
      <c r="S5" s="53">
        <f>B5+Q5</f>
        <v>1366.777536043659</v>
      </c>
      <c r="T5" s="53">
        <v>10.315693194151514</v>
      </c>
      <c r="U5" s="53">
        <f>SQRT(LN(T5)*S5^2)/$A$1^2</f>
        <v>0.11206033364724478</v>
      </c>
      <c r="V5">
        <v>19.7</v>
      </c>
      <c r="W5">
        <v>28.69</v>
      </c>
      <c r="X5">
        <v>1.3440000000000001</v>
      </c>
      <c r="AA5">
        <v>500</v>
      </c>
      <c r="AB5">
        <v>0</v>
      </c>
      <c r="AC5">
        <v>0</v>
      </c>
      <c r="AD5">
        <v>0</v>
      </c>
      <c r="AE5">
        <v>500</v>
      </c>
      <c r="AF5">
        <v>800</v>
      </c>
      <c r="AG5">
        <v>0.7</v>
      </c>
      <c r="AH5">
        <v>4.5</v>
      </c>
      <c r="AI5">
        <v>3</v>
      </c>
      <c r="AJ5">
        <v>0</v>
      </c>
      <c r="AL5">
        <v>18.327999999999999</v>
      </c>
      <c r="AM5">
        <v>105.02</v>
      </c>
      <c r="AN5">
        <v>21.04</v>
      </c>
      <c r="AO5">
        <v>0</v>
      </c>
      <c r="AP5">
        <v>1.3440000000000001</v>
      </c>
      <c r="AQ5">
        <v>0</v>
      </c>
    </row>
    <row r="6" spans="1:43" x14ac:dyDescent="0.3">
      <c r="A6">
        <v>50</v>
      </c>
      <c r="B6">
        <v>802</v>
      </c>
      <c r="C6">
        <v>401.01</v>
      </c>
      <c r="D6">
        <v>0</v>
      </c>
      <c r="E6" s="53">
        <v>886.44994366388084</v>
      </c>
      <c r="F6">
        <v>802</v>
      </c>
      <c r="G6" s="53">
        <v>0</v>
      </c>
      <c r="H6">
        <v>986.92465000000004</v>
      </c>
      <c r="I6">
        <v>986.92465000000004</v>
      </c>
      <c r="J6">
        <v>802</v>
      </c>
      <c r="K6">
        <v>401.01</v>
      </c>
      <c r="L6">
        <v>0</v>
      </c>
      <c r="M6">
        <v>802</v>
      </c>
      <c r="N6">
        <v>190.6</v>
      </c>
      <c r="O6">
        <v>1096.6712</v>
      </c>
      <c r="P6" s="53">
        <v>7.1669483258138387</v>
      </c>
      <c r="Q6" s="53">
        <v>369.48616685612802</v>
      </c>
      <c r="R6" s="53">
        <f t="shared" ref="R6:R10" si="0">(C6-Q6)/B6*1000</f>
        <v>39.306525117047336</v>
      </c>
      <c r="S6" s="53">
        <f t="shared" ref="S6:S10" si="1">B6+Q6</f>
        <v>1171.486166856128</v>
      </c>
      <c r="T6" s="53">
        <v>4.7952554881258482</v>
      </c>
      <c r="U6" s="53">
        <f t="shared" ref="U6:U10" si="2">SQRT(LN(T6)*S6^2)/$A$1^2</f>
        <v>7.8721475920957698E-2</v>
      </c>
      <c r="V6">
        <v>49.91</v>
      </c>
      <c r="W6">
        <v>28.51</v>
      </c>
      <c r="X6">
        <v>0.41099999999999998</v>
      </c>
      <c r="AA6">
        <v>500</v>
      </c>
      <c r="AB6">
        <v>0</v>
      </c>
      <c r="AC6">
        <v>0</v>
      </c>
      <c r="AD6">
        <v>0</v>
      </c>
      <c r="AE6">
        <v>500</v>
      </c>
      <c r="AF6">
        <v>800</v>
      </c>
      <c r="AG6">
        <v>0.7</v>
      </c>
      <c r="AH6">
        <v>4.5</v>
      </c>
      <c r="AI6">
        <v>3</v>
      </c>
      <c r="AJ6">
        <v>0</v>
      </c>
      <c r="AL6">
        <v>6.141</v>
      </c>
      <c r="AM6">
        <v>56.77</v>
      </c>
      <c r="AN6">
        <v>50.32</v>
      </c>
      <c r="AO6">
        <v>0</v>
      </c>
      <c r="AP6">
        <v>0.41099999999999998</v>
      </c>
      <c r="AQ6">
        <v>0</v>
      </c>
    </row>
    <row r="7" spans="1:43" x14ac:dyDescent="0.3">
      <c r="A7">
        <v>80</v>
      </c>
      <c r="B7">
        <v>682</v>
      </c>
      <c r="C7">
        <v>341.04</v>
      </c>
      <c r="D7">
        <v>0</v>
      </c>
      <c r="E7" s="53">
        <v>794.28325569510093</v>
      </c>
      <c r="F7">
        <v>682</v>
      </c>
      <c r="G7" s="53">
        <v>0</v>
      </c>
      <c r="H7">
        <v>839.33312999999998</v>
      </c>
      <c r="I7">
        <v>839.33312999999998</v>
      </c>
      <c r="J7">
        <v>682</v>
      </c>
      <c r="K7">
        <v>341.04</v>
      </c>
      <c r="L7">
        <v>0</v>
      </c>
      <c r="M7">
        <v>682</v>
      </c>
      <c r="N7">
        <v>162.1</v>
      </c>
      <c r="O7">
        <v>1096.6712</v>
      </c>
      <c r="P7" s="53">
        <v>3.2872116090681214</v>
      </c>
      <c r="Q7" s="53">
        <v>297.15297183536069</v>
      </c>
      <c r="R7" s="53">
        <f t="shared" si="0"/>
        <v>64.350481179823078</v>
      </c>
      <c r="S7" s="53">
        <f t="shared" si="1"/>
        <v>979.15297183536063</v>
      </c>
      <c r="T7" s="53">
        <v>3.1887431519764124</v>
      </c>
      <c r="U7" s="53">
        <f t="shared" si="2"/>
        <v>5.6590609769869377E-2</v>
      </c>
      <c r="V7">
        <v>79.989999999999995</v>
      </c>
      <c r="W7">
        <v>28.26</v>
      </c>
      <c r="X7">
        <v>0.191</v>
      </c>
      <c r="AA7">
        <v>500</v>
      </c>
      <c r="AB7">
        <v>0</v>
      </c>
      <c r="AC7">
        <v>0</v>
      </c>
      <c r="AD7">
        <v>0</v>
      </c>
      <c r="AE7">
        <v>500</v>
      </c>
      <c r="AF7">
        <v>800</v>
      </c>
      <c r="AG7">
        <v>0.7</v>
      </c>
      <c r="AH7">
        <v>4.5</v>
      </c>
      <c r="AI7">
        <v>3</v>
      </c>
      <c r="AJ7">
        <v>0</v>
      </c>
      <c r="AL7">
        <v>3.165</v>
      </c>
      <c r="AM7">
        <v>37.590000000000003</v>
      </c>
      <c r="AN7">
        <v>80.180000000000007</v>
      </c>
      <c r="AO7">
        <v>0</v>
      </c>
      <c r="AP7">
        <v>0.191</v>
      </c>
      <c r="AQ7">
        <v>0</v>
      </c>
    </row>
    <row r="8" spans="1:43" x14ac:dyDescent="0.3">
      <c r="A8">
        <v>120</v>
      </c>
      <c r="B8">
        <v>521.79999999999995</v>
      </c>
      <c r="C8">
        <v>260.92399999999998</v>
      </c>
      <c r="D8">
        <v>0</v>
      </c>
      <c r="E8" s="53">
        <v>654.14245768525791</v>
      </c>
      <c r="F8">
        <v>521.79999999999995</v>
      </c>
      <c r="G8" s="53">
        <v>0</v>
      </c>
      <c r="H8">
        <v>642.15949000000001</v>
      </c>
      <c r="I8">
        <v>642.15949000000001</v>
      </c>
      <c r="J8">
        <v>521.79999999999995</v>
      </c>
      <c r="K8">
        <v>260.92399999999998</v>
      </c>
      <c r="L8">
        <v>0</v>
      </c>
      <c r="M8">
        <v>521.79999999999995</v>
      </c>
      <c r="N8">
        <v>124</v>
      </c>
      <c r="O8">
        <v>1096.6712</v>
      </c>
      <c r="P8" s="53">
        <v>1.4226642447908047</v>
      </c>
      <c r="Q8" s="53">
        <v>209.64025438060929</v>
      </c>
      <c r="R8" s="53">
        <f t="shared" si="0"/>
        <v>98.282379492891309</v>
      </c>
      <c r="S8" s="53">
        <f t="shared" si="1"/>
        <v>731.4402543806093</v>
      </c>
      <c r="T8" s="53">
        <v>2.2711329791325428</v>
      </c>
      <c r="U8" s="53">
        <f t="shared" si="2"/>
        <v>3.5554477700010328E-2</v>
      </c>
      <c r="V8">
        <v>120</v>
      </c>
      <c r="W8">
        <v>27.75</v>
      </c>
      <c r="X8">
        <v>7.6999999999999999E-2</v>
      </c>
      <c r="AA8">
        <v>500</v>
      </c>
      <c r="AB8">
        <v>0</v>
      </c>
      <c r="AC8">
        <v>0</v>
      </c>
      <c r="AD8">
        <v>0</v>
      </c>
      <c r="AE8">
        <v>500</v>
      </c>
      <c r="AF8">
        <v>800</v>
      </c>
      <c r="AG8">
        <v>0.7</v>
      </c>
      <c r="AH8">
        <v>4.5</v>
      </c>
      <c r="AI8">
        <v>3</v>
      </c>
      <c r="AJ8">
        <v>0</v>
      </c>
      <c r="AL8">
        <v>1.625</v>
      </c>
      <c r="AM8">
        <v>23.55</v>
      </c>
      <c r="AN8">
        <v>120.08</v>
      </c>
      <c r="AO8">
        <v>0</v>
      </c>
      <c r="AP8">
        <v>7.6999999999999999E-2</v>
      </c>
      <c r="AQ8">
        <v>0</v>
      </c>
    </row>
    <row r="9" spans="1:43" x14ac:dyDescent="0.3">
      <c r="A9">
        <v>200</v>
      </c>
      <c r="B9">
        <v>200.8</v>
      </c>
      <c r="C9">
        <v>100.396</v>
      </c>
      <c r="D9">
        <v>0</v>
      </c>
      <c r="E9" s="53">
        <v>297.84099495240395</v>
      </c>
      <c r="F9">
        <v>200.8</v>
      </c>
      <c r="G9" s="53">
        <v>0</v>
      </c>
      <c r="H9">
        <v>247.08516</v>
      </c>
      <c r="I9">
        <v>247.08516</v>
      </c>
      <c r="J9">
        <v>200.8</v>
      </c>
      <c r="K9">
        <v>100.396</v>
      </c>
      <c r="L9">
        <v>0</v>
      </c>
      <c r="M9">
        <v>200.8</v>
      </c>
      <c r="N9">
        <v>47.7</v>
      </c>
      <c r="O9">
        <v>1096.6712</v>
      </c>
      <c r="P9" s="53">
        <v>0.2581244221518697</v>
      </c>
      <c r="Q9" s="53">
        <v>64.512415665215485</v>
      </c>
      <c r="R9" s="53">
        <f t="shared" si="0"/>
        <v>178.70310923697465</v>
      </c>
      <c r="S9" s="53">
        <f t="shared" si="1"/>
        <v>265.3124156652155</v>
      </c>
      <c r="T9" s="53">
        <v>1.6079401627857055</v>
      </c>
      <c r="U9" s="53">
        <f t="shared" si="2"/>
        <v>9.8133666785960912E-3</v>
      </c>
      <c r="V9">
        <v>200</v>
      </c>
      <c r="W9">
        <v>24.67</v>
      </c>
      <c r="X9">
        <v>8.9999999999999993E-3</v>
      </c>
      <c r="AA9">
        <v>500</v>
      </c>
      <c r="AB9">
        <v>0</v>
      </c>
      <c r="AC9">
        <v>0</v>
      </c>
      <c r="AD9">
        <v>0</v>
      </c>
      <c r="AE9">
        <v>500</v>
      </c>
      <c r="AF9">
        <v>800</v>
      </c>
      <c r="AG9">
        <v>0.7</v>
      </c>
      <c r="AH9">
        <v>4.5</v>
      </c>
      <c r="AI9">
        <v>3</v>
      </c>
      <c r="AJ9">
        <v>0</v>
      </c>
      <c r="AL9">
        <v>0.441</v>
      </c>
      <c r="AM9">
        <v>7.61</v>
      </c>
      <c r="AN9">
        <v>200.01</v>
      </c>
      <c r="AO9">
        <v>0</v>
      </c>
      <c r="AP9">
        <v>8.9999999999999993E-3</v>
      </c>
      <c r="AQ9">
        <v>0</v>
      </c>
    </row>
    <row r="10" spans="1:43" x14ac:dyDescent="0.3">
      <c r="A10">
        <v>220</v>
      </c>
      <c r="B10">
        <v>120.5</v>
      </c>
      <c r="C10">
        <v>60.241999999999997</v>
      </c>
      <c r="D10">
        <v>0</v>
      </c>
      <c r="E10" s="53">
        <v>191.3727593655328</v>
      </c>
      <c r="F10">
        <v>120.5</v>
      </c>
      <c r="G10" s="53">
        <v>0</v>
      </c>
      <c r="H10">
        <v>148.26112000000001</v>
      </c>
      <c r="I10">
        <v>148.26112000000001</v>
      </c>
      <c r="J10">
        <v>120.5</v>
      </c>
      <c r="K10">
        <v>60.241999999999997</v>
      </c>
      <c r="L10">
        <v>0</v>
      </c>
      <c r="M10">
        <v>120.5</v>
      </c>
      <c r="N10">
        <v>28.6</v>
      </c>
      <c r="O10">
        <v>1096.6712</v>
      </c>
      <c r="P10" s="53">
        <v>0.12617630397915164</v>
      </c>
      <c r="Q10" s="53">
        <v>34.463026883761579</v>
      </c>
      <c r="R10" s="53">
        <f t="shared" si="0"/>
        <v>213.93338685675036</v>
      </c>
      <c r="S10" s="53">
        <f t="shared" si="1"/>
        <v>154.96302688376159</v>
      </c>
      <c r="T10" s="53">
        <v>1.5739571878369158</v>
      </c>
      <c r="U10" s="53">
        <f t="shared" si="2"/>
        <v>5.6013916034586943E-3</v>
      </c>
      <c r="V10">
        <v>220</v>
      </c>
      <c r="W10">
        <v>21.93</v>
      </c>
      <c r="X10">
        <v>4.0000000000000001E-3</v>
      </c>
      <c r="AA10">
        <v>500</v>
      </c>
      <c r="AB10">
        <v>0</v>
      </c>
      <c r="AC10">
        <v>0</v>
      </c>
      <c r="AD10">
        <v>0</v>
      </c>
      <c r="AE10">
        <v>500</v>
      </c>
      <c r="AF10">
        <v>800</v>
      </c>
      <c r="AG10">
        <v>0.7</v>
      </c>
      <c r="AH10">
        <v>4.5</v>
      </c>
      <c r="AI10">
        <v>3</v>
      </c>
      <c r="AJ10">
        <v>0</v>
      </c>
      <c r="AL10">
        <v>0.254</v>
      </c>
      <c r="AM10">
        <v>4.47</v>
      </c>
      <c r="AN10">
        <v>220</v>
      </c>
      <c r="AO10">
        <v>0</v>
      </c>
      <c r="AP10">
        <v>4.0000000000000001E-3</v>
      </c>
      <c r="AQ10">
        <v>0</v>
      </c>
    </row>
    <row r="13" spans="1:43" s="53" customFormat="1" x14ac:dyDescent="0.3">
      <c r="A13" s="53">
        <v>136.5</v>
      </c>
      <c r="B13" s="53" t="s">
        <v>419</v>
      </c>
      <c r="C13" s="53" t="s">
        <v>420</v>
      </c>
    </row>
    <row r="14" spans="1:43" s="53" customFormat="1" x14ac:dyDescent="0.3">
      <c r="A14" s="53" t="s">
        <v>370</v>
      </c>
      <c r="B14" s="53" t="s">
        <v>371</v>
      </c>
      <c r="C14" s="53" t="s">
        <v>372</v>
      </c>
      <c r="D14" s="53" t="s">
        <v>373</v>
      </c>
      <c r="F14" s="53" t="s">
        <v>374</v>
      </c>
      <c r="G14" s="53" t="s">
        <v>375</v>
      </c>
      <c r="H14" s="53" t="s">
        <v>376</v>
      </c>
      <c r="I14" s="53" t="s">
        <v>377</v>
      </c>
      <c r="J14" s="53" t="s">
        <v>378</v>
      </c>
      <c r="K14" s="53" t="s">
        <v>379</v>
      </c>
      <c r="L14" s="53" t="s">
        <v>380</v>
      </c>
      <c r="M14" s="53" t="s">
        <v>381</v>
      </c>
      <c r="N14" s="53" t="s">
        <v>382</v>
      </c>
      <c r="O14" s="53" t="s">
        <v>383</v>
      </c>
      <c r="V14" s="53" t="s">
        <v>384</v>
      </c>
      <c r="W14" s="53" t="s">
        <v>385</v>
      </c>
      <c r="X14" s="53" t="s">
        <v>386</v>
      </c>
      <c r="Y14" s="53" t="s">
        <v>387</v>
      </c>
      <c r="Z14" s="53" t="s">
        <v>388</v>
      </c>
      <c r="AA14" s="53" t="s">
        <v>368</v>
      </c>
      <c r="AB14" s="53" t="s">
        <v>369</v>
      </c>
      <c r="AC14" s="53" t="s">
        <v>389</v>
      </c>
      <c r="AD14" s="53" t="s">
        <v>390</v>
      </c>
      <c r="AE14" s="53" t="s">
        <v>391</v>
      </c>
      <c r="AF14" s="53" t="s">
        <v>392</v>
      </c>
      <c r="AG14" s="53" t="s">
        <v>393</v>
      </c>
      <c r="AH14" s="53" t="s">
        <v>394</v>
      </c>
      <c r="AI14" s="53" t="s">
        <v>395</v>
      </c>
      <c r="AJ14" s="53" t="s">
        <v>396</v>
      </c>
      <c r="AK14" s="53" t="s">
        <v>397</v>
      </c>
      <c r="AL14" s="53" t="s">
        <v>398</v>
      </c>
      <c r="AM14" s="53" t="s">
        <v>399</v>
      </c>
      <c r="AN14" s="53" t="s">
        <v>400</v>
      </c>
      <c r="AO14" s="53" t="s">
        <v>401</v>
      </c>
      <c r="AP14" s="53" t="s">
        <v>402</v>
      </c>
      <c r="AQ14" s="53" t="s">
        <v>403</v>
      </c>
    </row>
    <row r="15" spans="1:43" s="53" customFormat="1" x14ac:dyDescent="0.3"/>
    <row r="16" spans="1:43" s="53" customFormat="1" x14ac:dyDescent="0.3">
      <c r="A16" s="53" t="s">
        <v>404</v>
      </c>
      <c r="B16" s="53" t="s">
        <v>405</v>
      </c>
      <c r="C16" s="53" t="s">
        <v>406</v>
      </c>
      <c r="D16" s="53" t="s">
        <v>405</v>
      </c>
      <c r="E16" s="53" t="s">
        <v>475</v>
      </c>
      <c r="F16" s="53" t="s">
        <v>405</v>
      </c>
      <c r="G16" s="53" t="s">
        <v>407</v>
      </c>
      <c r="H16" s="53" t="s">
        <v>408</v>
      </c>
      <c r="I16" s="53" t="s">
        <v>408</v>
      </c>
      <c r="J16" s="53" t="s">
        <v>405</v>
      </c>
      <c r="K16" s="53" t="s">
        <v>406</v>
      </c>
      <c r="L16" s="53" t="s">
        <v>405</v>
      </c>
      <c r="M16" s="53" t="s">
        <v>405</v>
      </c>
      <c r="N16" s="53" t="s">
        <v>409</v>
      </c>
      <c r="O16" s="53" t="s">
        <v>410</v>
      </c>
      <c r="P16" s="53" t="s">
        <v>479</v>
      </c>
      <c r="Q16" s="53" t="s">
        <v>480</v>
      </c>
      <c r="R16" s="53" t="s">
        <v>474</v>
      </c>
      <c r="S16" s="53" t="s">
        <v>478</v>
      </c>
      <c r="T16" s="53" t="s">
        <v>476</v>
      </c>
      <c r="U16" s="53" t="s">
        <v>477</v>
      </c>
      <c r="V16" s="53" t="s">
        <v>404</v>
      </c>
      <c r="W16" s="53" t="s">
        <v>411</v>
      </c>
      <c r="X16" s="53" t="s">
        <v>412</v>
      </c>
      <c r="AA16" s="53" t="s">
        <v>413</v>
      </c>
      <c r="AB16" s="53" t="s">
        <v>414</v>
      </c>
      <c r="AC16" s="53" t="s">
        <v>413</v>
      </c>
      <c r="AD16" s="53" t="s">
        <v>413</v>
      </c>
      <c r="AE16" s="53" t="s">
        <v>413</v>
      </c>
      <c r="AF16" s="53" t="s">
        <v>415</v>
      </c>
      <c r="AG16" s="53" t="s">
        <v>416</v>
      </c>
      <c r="AH16" s="53" t="s">
        <v>414</v>
      </c>
      <c r="AI16" s="53" t="s">
        <v>414</v>
      </c>
      <c r="AJ16" s="53" t="s">
        <v>414</v>
      </c>
      <c r="AK16" s="53" t="s">
        <v>417</v>
      </c>
      <c r="AL16" s="53" t="s">
        <v>418</v>
      </c>
      <c r="AN16" s="53" t="s">
        <v>404</v>
      </c>
      <c r="AO16" s="53" t="s">
        <v>412</v>
      </c>
      <c r="AP16" s="53" t="s">
        <v>412</v>
      </c>
      <c r="AQ16" s="53" t="s">
        <v>412</v>
      </c>
    </row>
    <row r="17" spans="1:43" x14ac:dyDescent="0.3">
      <c r="A17">
        <v>20</v>
      </c>
      <c r="B17">
        <v>910.3</v>
      </c>
      <c r="C17">
        <v>910.39400000000001</v>
      </c>
      <c r="D17">
        <v>0</v>
      </c>
      <c r="E17" s="53">
        <v>999.91628800841875</v>
      </c>
      <c r="F17">
        <v>910.3</v>
      </c>
      <c r="G17" s="53">
        <v>0</v>
      </c>
      <c r="H17">
        <v>1512.2148</v>
      </c>
      <c r="I17">
        <v>1512.2148</v>
      </c>
      <c r="J17">
        <v>910.3</v>
      </c>
      <c r="K17">
        <v>910.39400000000001</v>
      </c>
      <c r="L17">
        <v>0</v>
      </c>
      <c r="M17">
        <v>910.3</v>
      </c>
      <c r="N17">
        <v>432.7</v>
      </c>
      <c r="O17">
        <v>1096.6712</v>
      </c>
      <c r="P17" s="53">
        <v>55.88438821870205</v>
      </c>
      <c r="Q17" s="53">
        <v>897.72642554295021</v>
      </c>
      <c r="R17" s="53">
        <f>(C17-Q17)/B17*1000</f>
        <v>13.915823857024932</v>
      </c>
      <c r="S17" s="53">
        <f>B17+Q17</f>
        <v>1808.0264255429502</v>
      </c>
      <c r="T17" s="53">
        <v>9.4556501759857667</v>
      </c>
      <c r="U17" s="53">
        <f>SQRT(LN(T17)*S17^2)/$A$1^2</f>
        <v>0.14544659314170971</v>
      </c>
      <c r="V17">
        <v>19.93</v>
      </c>
      <c r="W17">
        <v>29.01</v>
      </c>
      <c r="X17">
        <v>3.4369999999999998</v>
      </c>
      <c r="AA17">
        <v>1000</v>
      </c>
      <c r="AB17">
        <v>0</v>
      </c>
      <c r="AC17">
        <v>0</v>
      </c>
      <c r="AD17">
        <v>0</v>
      </c>
      <c r="AE17">
        <v>1000</v>
      </c>
      <c r="AF17">
        <v>800</v>
      </c>
      <c r="AG17">
        <v>0.7</v>
      </c>
      <c r="AH17">
        <v>4.5</v>
      </c>
      <c r="AI17">
        <v>3</v>
      </c>
      <c r="AJ17">
        <v>0</v>
      </c>
      <c r="AL17">
        <v>33.947000000000003</v>
      </c>
      <c r="AM17">
        <v>165.22</v>
      </c>
      <c r="AN17">
        <v>23.37</v>
      </c>
      <c r="AO17">
        <v>0</v>
      </c>
      <c r="AP17">
        <v>3.4369999999999998</v>
      </c>
      <c r="AQ17">
        <v>0</v>
      </c>
    </row>
    <row r="18" spans="1:43" x14ac:dyDescent="0.3">
      <c r="A18">
        <v>50</v>
      </c>
      <c r="B18">
        <v>800.1</v>
      </c>
      <c r="C18">
        <v>800.10500000000002</v>
      </c>
      <c r="D18">
        <v>0</v>
      </c>
      <c r="E18" s="53">
        <v>892.17133974505532</v>
      </c>
      <c r="F18">
        <v>800.1</v>
      </c>
      <c r="G18" s="53">
        <v>0</v>
      </c>
      <c r="H18">
        <v>1329.0183</v>
      </c>
      <c r="I18">
        <v>1329.0183</v>
      </c>
      <c r="J18">
        <v>800.1</v>
      </c>
      <c r="K18">
        <v>800.10500000000002</v>
      </c>
      <c r="L18">
        <v>0</v>
      </c>
      <c r="M18">
        <v>800.1</v>
      </c>
      <c r="N18">
        <v>380.3</v>
      </c>
      <c r="O18">
        <v>1096.6712</v>
      </c>
      <c r="P18" s="53">
        <v>14.985839512900171</v>
      </c>
      <c r="Q18" s="53">
        <v>768.78523385323842</v>
      </c>
      <c r="R18" s="53">
        <f t="shared" ref="R18:R22" si="3">(C18-Q18)/B18*1000</f>
        <v>39.144814581629284</v>
      </c>
      <c r="S18" s="53">
        <f t="shared" ref="S18:S22" si="4">B18+Q18</f>
        <v>1568.8852338532383</v>
      </c>
      <c r="T18" s="53">
        <v>4.5220276944768898</v>
      </c>
      <c r="U18" s="53">
        <f t="shared" ref="U18:U22" si="5">SQRT(LN(T18)*S18^2)/$A$1^2</f>
        <v>0.10343435442731604</v>
      </c>
      <c r="V18">
        <v>49.78</v>
      </c>
      <c r="W18">
        <v>28.87</v>
      </c>
      <c r="X18">
        <v>1.0489999999999999</v>
      </c>
      <c r="AA18">
        <v>1000</v>
      </c>
      <c r="AB18">
        <v>0</v>
      </c>
      <c r="AC18">
        <v>0</v>
      </c>
      <c r="AD18">
        <v>0</v>
      </c>
      <c r="AE18">
        <v>1000</v>
      </c>
      <c r="AF18">
        <v>800</v>
      </c>
      <c r="AG18">
        <v>0.7</v>
      </c>
      <c r="AH18">
        <v>4.5</v>
      </c>
      <c r="AI18">
        <v>3</v>
      </c>
      <c r="AJ18">
        <v>0</v>
      </c>
      <c r="AL18">
        <v>12.086</v>
      </c>
      <c r="AM18">
        <v>92.42</v>
      </c>
      <c r="AN18">
        <v>50.82</v>
      </c>
      <c r="AO18">
        <v>0</v>
      </c>
      <c r="AP18">
        <v>1.0489999999999999</v>
      </c>
      <c r="AQ18">
        <v>0</v>
      </c>
    </row>
    <row r="19" spans="1:43" x14ac:dyDescent="0.3">
      <c r="A19">
        <v>80</v>
      </c>
      <c r="B19">
        <v>681.4</v>
      </c>
      <c r="C19">
        <v>681.38499999999999</v>
      </c>
      <c r="D19">
        <v>0</v>
      </c>
      <c r="E19" s="53">
        <v>797.39093266838609</v>
      </c>
      <c r="F19">
        <v>681.4</v>
      </c>
      <c r="G19" s="53">
        <v>0</v>
      </c>
      <c r="H19">
        <v>1131.8182999999999</v>
      </c>
      <c r="I19">
        <v>1131.8182999999999</v>
      </c>
      <c r="J19">
        <v>681.4</v>
      </c>
      <c r="K19">
        <v>681.38499999999999</v>
      </c>
      <c r="L19">
        <v>0</v>
      </c>
      <c r="M19">
        <v>681.4</v>
      </c>
      <c r="N19">
        <v>323.89999999999998</v>
      </c>
      <c r="O19">
        <v>1096.6712</v>
      </c>
      <c r="P19" s="53">
        <v>7.082463925083812</v>
      </c>
      <c r="Q19" s="53">
        <v>637.65635446617955</v>
      </c>
      <c r="R19" s="53">
        <f t="shared" si="3"/>
        <v>64.174707270062285</v>
      </c>
      <c r="S19" s="53">
        <f t="shared" si="4"/>
        <v>1319.0563544661795</v>
      </c>
      <c r="T19" s="53">
        <v>3.015518431388494</v>
      </c>
      <c r="U19" s="53">
        <f t="shared" si="5"/>
        <v>7.4376834054898422E-2</v>
      </c>
      <c r="V19">
        <v>79.900000000000006</v>
      </c>
      <c r="W19">
        <v>28.68</v>
      </c>
      <c r="X19">
        <v>0.47599999999999998</v>
      </c>
      <c r="AA19">
        <v>1000</v>
      </c>
      <c r="AB19">
        <v>0</v>
      </c>
      <c r="AC19">
        <v>0</v>
      </c>
      <c r="AD19">
        <v>0</v>
      </c>
      <c r="AE19">
        <v>1000</v>
      </c>
      <c r="AF19">
        <v>800</v>
      </c>
      <c r="AG19">
        <v>0.7</v>
      </c>
      <c r="AH19">
        <v>4.5</v>
      </c>
      <c r="AI19">
        <v>3</v>
      </c>
      <c r="AJ19">
        <v>0</v>
      </c>
      <c r="AL19">
        <v>6.15</v>
      </c>
      <c r="AM19">
        <v>60.84</v>
      </c>
      <c r="AN19">
        <v>80.38</v>
      </c>
      <c r="AO19">
        <v>0</v>
      </c>
      <c r="AP19">
        <v>0.47599999999999998</v>
      </c>
      <c r="AQ19">
        <v>0</v>
      </c>
    </row>
    <row r="20" spans="1:43" x14ac:dyDescent="0.3">
      <c r="A20">
        <v>120</v>
      </c>
      <c r="B20">
        <v>521.4</v>
      </c>
      <c r="C20">
        <v>521.47400000000005</v>
      </c>
      <c r="D20">
        <v>0</v>
      </c>
      <c r="E20" s="53">
        <v>655.52190037049377</v>
      </c>
      <c r="F20">
        <v>521.4</v>
      </c>
      <c r="G20" s="53">
        <v>0</v>
      </c>
      <c r="H20">
        <v>866.19736</v>
      </c>
      <c r="I20">
        <v>866.19736</v>
      </c>
      <c r="J20">
        <v>521.4</v>
      </c>
      <c r="K20">
        <v>521.47400000000005</v>
      </c>
      <c r="L20">
        <v>0</v>
      </c>
      <c r="M20">
        <v>521.4</v>
      </c>
      <c r="N20">
        <v>247.9</v>
      </c>
      <c r="O20">
        <v>1096.6712</v>
      </c>
      <c r="P20" s="53">
        <v>3.205354144680991</v>
      </c>
      <c r="Q20" s="53">
        <v>470.31789994100257</v>
      </c>
      <c r="R20" s="53">
        <f t="shared" si="3"/>
        <v>98.112965207129804</v>
      </c>
      <c r="S20" s="53">
        <f t="shared" si="4"/>
        <v>991.71789994100254</v>
      </c>
      <c r="T20" s="53">
        <v>2.138001637766398</v>
      </c>
      <c r="U20" s="53">
        <f t="shared" si="5"/>
        <v>4.6397325792170326E-2</v>
      </c>
      <c r="V20">
        <v>119.99</v>
      </c>
      <c r="W20">
        <v>28.3</v>
      </c>
      <c r="X20">
        <v>0.192</v>
      </c>
      <c r="AA20">
        <v>1000</v>
      </c>
      <c r="AB20">
        <v>0</v>
      </c>
      <c r="AC20">
        <v>0</v>
      </c>
      <c r="AD20">
        <v>0</v>
      </c>
      <c r="AE20">
        <v>1000</v>
      </c>
      <c r="AF20">
        <v>800</v>
      </c>
      <c r="AG20">
        <v>0.7</v>
      </c>
      <c r="AH20">
        <v>4.5</v>
      </c>
      <c r="AI20">
        <v>3</v>
      </c>
      <c r="AJ20">
        <v>0</v>
      </c>
      <c r="AL20">
        <v>3.0510000000000002</v>
      </c>
      <c r="AM20">
        <v>37.49</v>
      </c>
      <c r="AN20">
        <v>120.19</v>
      </c>
      <c r="AO20">
        <v>0</v>
      </c>
      <c r="AP20">
        <v>0.192</v>
      </c>
      <c r="AQ20">
        <v>0</v>
      </c>
    </row>
    <row r="21" spans="1:43" x14ac:dyDescent="0.3">
      <c r="A21">
        <v>200</v>
      </c>
      <c r="B21">
        <v>200.8</v>
      </c>
      <c r="C21">
        <v>200.76499999999999</v>
      </c>
      <c r="D21">
        <v>0</v>
      </c>
      <c r="E21" s="53">
        <v>297.82045565037669</v>
      </c>
      <c r="F21">
        <v>200.8</v>
      </c>
      <c r="G21" s="53">
        <v>0</v>
      </c>
      <c r="H21">
        <v>333.48122000000001</v>
      </c>
      <c r="I21">
        <v>333.48122000000001</v>
      </c>
      <c r="J21">
        <v>200.8</v>
      </c>
      <c r="K21">
        <v>200.76499999999999</v>
      </c>
      <c r="L21">
        <v>0</v>
      </c>
      <c r="M21">
        <v>200.8</v>
      </c>
      <c r="N21">
        <v>95.4</v>
      </c>
      <c r="O21">
        <v>1096.6712</v>
      </c>
      <c r="P21" s="53">
        <v>0.66600353429150216</v>
      </c>
      <c r="Q21" s="53">
        <v>165.30238355273033</v>
      </c>
      <c r="R21" s="53">
        <f t="shared" si="3"/>
        <v>176.60665561389268</v>
      </c>
      <c r="S21" s="53">
        <f t="shared" si="4"/>
        <v>366.10238355273032</v>
      </c>
      <c r="T21" s="53">
        <v>1.4857097316438768</v>
      </c>
      <c r="U21" s="53">
        <f t="shared" si="5"/>
        <v>1.2363058982278317E-2</v>
      </c>
      <c r="V21">
        <v>200</v>
      </c>
      <c r="W21">
        <v>25.87</v>
      </c>
      <c r="X21">
        <v>2.1999999999999999E-2</v>
      </c>
      <c r="AA21">
        <v>1000</v>
      </c>
      <c r="AB21">
        <v>0</v>
      </c>
      <c r="AC21">
        <v>0</v>
      </c>
      <c r="AD21">
        <v>0</v>
      </c>
      <c r="AE21">
        <v>1000</v>
      </c>
      <c r="AF21">
        <v>800</v>
      </c>
      <c r="AG21">
        <v>0.7</v>
      </c>
      <c r="AH21">
        <v>4.5</v>
      </c>
      <c r="AI21">
        <v>3</v>
      </c>
      <c r="AJ21">
        <v>0</v>
      </c>
      <c r="AL21">
        <v>0.77</v>
      </c>
      <c r="AM21">
        <v>11.68</v>
      </c>
      <c r="AN21">
        <v>200.02</v>
      </c>
      <c r="AO21">
        <v>0</v>
      </c>
      <c r="AP21">
        <v>2.1999999999999999E-2</v>
      </c>
      <c r="AQ21">
        <v>0</v>
      </c>
    </row>
    <row r="22" spans="1:43" x14ac:dyDescent="0.3">
      <c r="A22">
        <v>220</v>
      </c>
      <c r="B22">
        <v>120.5</v>
      </c>
      <c r="C22">
        <v>120.47799999999999</v>
      </c>
      <c r="D22">
        <v>0</v>
      </c>
      <c r="E22" s="53">
        <v>190.98415269851517</v>
      </c>
      <c r="F22">
        <v>120.5</v>
      </c>
      <c r="G22" s="53">
        <v>0</v>
      </c>
      <c r="H22">
        <v>200.12011000000001</v>
      </c>
      <c r="I22">
        <v>200.12011000000001</v>
      </c>
      <c r="J22">
        <v>120.5</v>
      </c>
      <c r="K22">
        <v>120.47799999999999</v>
      </c>
      <c r="L22">
        <v>0</v>
      </c>
      <c r="M22">
        <v>120.5</v>
      </c>
      <c r="N22">
        <v>57.3</v>
      </c>
      <c r="O22">
        <v>1096.6712</v>
      </c>
      <c r="P22" s="53">
        <v>0.35143312442348962</v>
      </c>
      <c r="Q22" s="53">
        <v>94.981958877017121</v>
      </c>
      <c r="R22" s="53">
        <f t="shared" si="3"/>
        <v>211.58540351023132</v>
      </c>
      <c r="S22" s="53">
        <f t="shared" si="4"/>
        <v>215.48195887701712</v>
      </c>
      <c r="T22" s="53">
        <v>1.4405406181884097</v>
      </c>
      <c r="U22" s="53">
        <f t="shared" si="5"/>
        <v>6.9871977352530682E-3</v>
      </c>
      <c r="V22">
        <v>220</v>
      </c>
      <c r="W22">
        <v>23.61</v>
      </c>
      <c r="X22">
        <v>8.9999999999999993E-3</v>
      </c>
      <c r="AA22">
        <v>1000</v>
      </c>
      <c r="AB22">
        <v>0</v>
      </c>
      <c r="AC22">
        <v>0</v>
      </c>
      <c r="AD22">
        <v>0</v>
      </c>
      <c r="AE22">
        <v>1000</v>
      </c>
      <c r="AF22">
        <v>800</v>
      </c>
      <c r="AG22">
        <v>0.7</v>
      </c>
      <c r="AH22">
        <v>4.5</v>
      </c>
      <c r="AI22">
        <v>3</v>
      </c>
      <c r="AJ22">
        <v>0</v>
      </c>
      <c r="AL22">
        <v>0.436</v>
      </c>
      <c r="AM22">
        <v>6.81</v>
      </c>
      <c r="AN22">
        <v>220.01</v>
      </c>
      <c r="AO22">
        <v>0</v>
      </c>
      <c r="AP22">
        <v>8.9999999999999993E-3</v>
      </c>
      <c r="AQ22">
        <v>0</v>
      </c>
    </row>
    <row r="23" spans="1:43" s="53" customFormat="1" x14ac:dyDescent="0.3"/>
    <row r="25" spans="1:43" s="53" customFormat="1" x14ac:dyDescent="0.3">
      <c r="A25" s="53">
        <v>250</v>
      </c>
      <c r="B25" s="53" t="s">
        <v>419</v>
      </c>
      <c r="C25" s="53" t="s">
        <v>420</v>
      </c>
    </row>
    <row r="26" spans="1:43" s="53" customFormat="1" x14ac:dyDescent="0.3">
      <c r="A26" s="53" t="s">
        <v>370</v>
      </c>
      <c r="B26" s="53" t="s">
        <v>371</v>
      </c>
      <c r="C26" s="53" t="s">
        <v>372</v>
      </c>
      <c r="D26" s="53" t="s">
        <v>373</v>
      </c>
      <c r="F26" s="53" t="s">
        <v>374</v>
      </c>
      <c r="G26" s="53" t="s">
        <v>375</v>
      </c>
      <c r="H26" s="53" t="s">
        <v>376</v>
      </c>
      <c r="I26" s="53" t="s">
        <v>377</v>
      </c>
      <c r="J26" s="53" t="s">
        <v>378</v>
      </c>
      <c r="K26" s="53" t="s">
        <v>379</v>
      </c>
      <c r="L26" s="53" t="s">
        <v>380</v>
      </c>
      <c r="M26" s="53" t="s">
        <v>381</v>
      </c>
      <c r="N26" s="53" t="s">
        <v>382</v>
      </c>
      <c r="O26" s="53" t="s">
        <v>383</v>
      </c>
      <c r="V26" s="53" t="s">
        <v>384</v>
      </c>
      <c r="W26" s="53" t="s">
        <v>385</v>
      </c>
      <c r="X26" s="53" t="s">
        <v>386</v>
      </c>
      <c r="Y26" s="53" t="s">
        <v>387</v>
      </c>
      <c r="Z26" s="53" t="s">
        <v>388</v>
      </c>
      <c r="AA26" s="53" t="s">
        <v>368</v>
      </c>
      <c r="AB26" s="53" t="s">
        <v>369</v>
      </c>
      <c r="AC26" s="53" t="s">
        <v>389</v>
      </c>
      <c r="AD26" s="53" t="s">
        <v>390</v>
      </c>
      <c r="AE26" s="53" t="s">
        <v>391</v>
      </c>
      <c r="AF26" s="53" t="s">
        <v>392</v>
      </c>
      <c r="AG26" s="53" t="s">
        <v>393</v>
      </c>
      <c r="AH26" s="53" t="s">
        <v>394</v>
      </c>
      <c r="AI26" s="53" t="s">
        <v>395</v>
      </c>
      <c r="AJ26" s="53" t="s">
        <v>396</v>
      </c>
      <c r="AK26" s="53" t="s">
        <v>397</v>
      </c>
      <c r="AL26" s="53" t="s">
        <v>398</v>
      </c>
      <c r="AM26" s="53" t="s">
        <v>399</v>
      </c>
      <c r="AN26" s="53" t="s">
        <v>400</v>
      </c>
      <c r="AO26" s="53" t="s">
        <v>401</v>
      </c>
      <c r="AP26" s="53" t="s">
        <v>402</v>
      </c>
      <c r="AQ26" s="53" t="s">
        <v>403</v>
      </c>
    </row>
    <row r="27" spans="1:43" s="53" customFormat="1" x14ac:dyDescent="0.3"/>
    <row r="28" spans="1:43" s="53" customFormat="1" x14ac:dyDescent="0.3">
      <c r="A28" s="53" t="s">
        <v>404</v>
      </c>
      <c r="B28" s="53" t="s">
        <v>405</v>
      </c>
      <c r="C28" s="53" t="s">
        <v>406</v>
      </c>
      <c r="D28" s="53" t="s">
        <v>405</v>
      </c>
      <c r="E28" s="53" t="s">
        <v>475</v>
      </c>
      <c r="F28" s="53" t="s">
        <v>405</v>
      </c>
      <c r="G28" s="53" t="s">
        <v>407</v>
      </c>
      <c r="H28" s="53" t="s">
        <v>408</v>
      </c>
      <c r="I28" s="53" t="s">
        <v>408</v>
      </c>
      <c r="J28" s="53" t="s">
        <v>405</v>
      </c>
      <c r="K28" s="53" t="s">
        <v>406</v>
      </c>
      <c r="L28" s="53" t="s">
        <v>405</v>
      </c>
      <c r="M28" s="53" t="s">
        <v>405</v>
      </c>
      <c r="N28" s="53" t="s">
        <v>409</v>
      </c>
      <c r="O28" s="53" t="s">
        <v>410</v>
      </c>
      <c r="P28" s="53" t="s">
        <v>479</v>
      </c>
      <c r="Q28" s="53" t="s">
        <v>480</v>
      </c>
      <c r="R28" s="53" t="s">
        <v>474</v>
      </c>
      <c r="S28" s="53" t="s">
        <v>478</v>
      </c>
      <c r="T28" s="53" t="s">
        <v>476</v>
      </c>
      <c r="U28" s="53" t="s">
        <v>477</v>
      </c>
      <c r="V28" s="53" t="s">
        <v>404</v>
      </c>
      <c r="W28" s="53" t="s">
        <v>411</v>
      </c>
      <c r="X28" s="53" t="s">
        <v>412</v>
      </c>
      <c r="AA28" s="53" t="s">
        <v>413</v>
      </c>
      <c r="AB28" s="53" t="s">
        <v>414</v>
      </c>
      <c r="AC28" s="53" t="s">
        <v>413</v>
      </c>
      <c r="AD28" s="53" t="s">
        <v>413</v>
      </c>
      <c r="AE28" s="53" t="s">
        <v>413</v>
      </c>
      <c r="AF28" s="53" t="s">
        <v>415</v>
      </c>
      <c r="AG28" s="53" t="s">
        <v>416</v>
      </c>
      <c r="AH28" s="53" t="s">
        <v>414</v>
      </c>
      <c r="AI28" s="53" t="s">
        <v>414</v>
      </c>
      <c r="AJ28" s="53" t="s">
        <v>414</v>
      </c>
      <c r="AK28" s="53" t="s">
        <v>417</v>
      </c>
      <c r="AL28" s="53" t="s">
        <v>418</v>
      </c>
      <c r="AN28" s="53" t="s">
        <v>404</v>
      </c>
      <c r="AO28" s="53" t="s">
        <v>412</v>
      </c>
      <c r="AP28" s="53" t="s">
        <v>412</v>
      </c>
      <c r="AQ28" s="53" t="s">
        <v>412</v>
      </c>
    </row>
    <row r="29" spans="1:43" x14ac:dyDescent="0.3">
      <c r="A29">
        <v>20</v>
      </c>
      <c r="B29">
        <v>923.7</v>
      </c>
      <c r="C29">
        <v>461.863</v>
      </c>
      <c r="D29">
        <v>0</v>
      </c>
      <c r="E29" s="53">
        <v>984.72665259688017</v>
      </c>
      <c r="F29">
        <v>923.7</v>
      </c>
      <c r="G29" s="53">
        <v>0</v>
      </c>
      <c r="H29">
        <v>1136.691</v>
      </c>
      <c r="I29">
        <v>1136.691</v>
      </c>
      <c r="J29">
        <v>923.7</v>
      </c>
      <c r="K29">
        <v>461.863</v>
      </c>
      <c r="L29">
        <v>0</v>
      </c>
      <c r="M29">
        <v>923.7</v>
      </c>
      <c r="N29">
        <v>219.5</v>
      </c>
      <c r="O29">
        <v>1096.6712</v>
      </c>
      <c r="P29" s="53">
        <v>27.689952208149172</v>
      </c>
      <c r="Q29" s="53">
        <v>448.88923801283528</v>
      </c>
      <c r="R29" s="53">
        <f>(C29-Q29)/B29*1000</f>
        <v>14.045428155423535</v>
      </c>
      <c r="S29" s="53">
        <f>B29+Q29</f>
        <v>1372.5892380128353</v>
      </c>
      <c r="T29" s="53">
        <v>12.607213929931419</v>
      </c>
      <c r="U29" s="53">
        <f>SQRT(LN(T29)*S29^2)/$A$25^2</f>
        <v>3.496124931614502E-2</v>
      </c>
      <c r="V29">
        <v>19.989999999999998</v>
      </c>
      <c r="W29">
        <v>27.68</v>
      </c>
      <c r="X29">
        <v>6.3E-2</v>
      </c>
      <c r="AA29">
        <v>500</v>
      </c>
      <c r="AB29">
        <v>0</v>
      </c>
      <c r="AC29">
        <v>0</v>
      </c>
      <c r="AD29">
        <v>0</v>
      </c>
      <c r="AE29">
        <v>500</v>
      </c>
      <c r="AF29">
        <v>800</v>
      </c>
      <c r="AG29">
        <v>0.7</v>
      </c>
      <c r="AH29">
        <v>4.5</v>
      </c>
      <c r="AI29">
        <v>3</v>
      </c>
      <c r="AJ29">
        <v>0</v>
      </c>
      <c r="AL29">
        <v>5.5780000000000003</v>
      </c>
      <c r="AM29">
        <v>31.7</v>
      </c>
      <c r="AN29">
        <v>20.05</v>
      </c>
      <c r="AO29">
        <v>0</v>
      </c>
      <c r="AP29">
        <v>6.3E-2</v>
      </c>
      <c r="AQ29">
        <v>0</v>
      </c>
    </row>
    <row r="30" spans="1:43" x14ac:dyDescent="0.3">
      <c r="A30">
        <v>50</v>
      </c>
      <c r="B30">
        <v>803.3</v>
      </c>
      <c r="C30">
        <v>401.67399999999998</v>
      </c>
      <c r="D30">
        <v>0</v>
      </c>
      <c r="E30" s="53">
        <v>887.33578179376502</v>
      </c>
      <c r="F30">
        <v>803.3</v>
      </c>
      <c r="G30" s="53">
        <v>0</v>
      </c>
      <c r="H30">
        <v>988.55921000000001</v>
      </c>
      <c r="I30">
        <v>988.55921000000001</v>
      </c>
      <c r="J30">
        <v>803.3</v>
      </c>
      <c r="K30">
        <v>401.67399999999998</v>
      </c>
      <c r="L30">
        <v>0</v>
      </c>
      <c r="M30">
        <v>803.3</v>
      </c>
      <c r="N30">
        <v>190.9</v>
      </c>
      <c r="O30">
        <v>1096.6712</v>
      </c>
      <c r="P30" s="53">
        <v>7.1183776705156765</v>
      </c>
      <c r="Q30" s="53">
        <v>369.90294319453261</v>
      </c>
      <c r="R30" s="53">
        <f>(C30-Q30)/B30*1000</f>
        <v>39.550674474626383</v>
      </c>
      <c r="S30" s="53">
        <f>B30+Q30</f>
        <v>1173.2029431945325</v>
      </c>
      <c r="T30" s="53">
        <v>5.69243379941115</v>
      </c>
      <c r="U30" s="53">
        <f t="shared" ref="U30:U34" si="6">SQRT(LN(T30)*S30^2)/$A$25^2</f>
        <v>2.4754840641140433E-2</v>
      </c>
      <c r="V30">
        <v>50</v>
      </c>
      <c r="W30">
        <v>27.36</v>
      </c>
      <c r="X30">
        <v>2.1000000000000001E-2</v>
      </c>
      <c r="AA30">
        <v>500</v>
      </c>
      <c r="AB30">
        <v>0</v>
      </c>
      <c r="AC30">
        <v>0</v>
      </c>
      <c r="AD30">
        <v>0</v>
      </c>
      <c r="AE30">
        <v>500</v>
      </c>
      <c r="AF30">
        <v>800</v>
      </c>
      <c r="AG30">
        <v>0.7</v>
      </c>
      <c r="AH30">
        <v>4.5</v>
      </c>
      <c r="AI30">
        <v>3</v>
      </c>
      <c r="AJ30">
        <v>0</v>
      </c>
      <c r="AL30">
        <v>1.833</v>
      </c>
      <c r="AM30">
        <v>16.95</v>
      </c>
      <c r="AN30">
        <v>50.02</v>
      </c>
      <c r="AO30">
        <v>0</v>
      </c>
      <c r="AP30">
        <v>2.1000000000000001E-2</v>
      </c>
      <c r="AQ30">
        <v>0</v>
      </c>
    </row>
    <row r="31" spans="1:43" x14ac:dyDescent="0.3">
      <c r="A31">
        <v>80</v>
      </c>
      <c r="B31">
        <v>682.8</v>
      </c>
      <c r="C31">
        <v>341.43200000000002</v>
      </c>
      <c r="D31">
        <v>0</v>
      </c>
      <c r="E31" s="53">
        <v>794.74848465366108</v>
      </c>
      <c r="F31">
        <v>682.8</v>
      </c>
      <c r="G31" s="53">
        <v>0</v>
      </c>
      <c r="H31">
        <v>840.29807000000005</v>
      </c>
      <c r="I31">
        <v>840.29807000000005</v>
      </c>
      <c r="J31">
        <v>682.8</v>
      </c>
      <c r="K31">
        <v>341.43200000000002</v>
      </c>
      <c r="L31">
        <v>0</v>
      </c>
      <c r="M31">
        <v>682.8</v>
      </c>
      <c r="N31">
        <v>162.30000000000001</v>
      </c>
      <c r="O31">
        <v>1096.6712</v>
      </c>
      <c r="P31" s="53">
        <v>3.2602704962320286</v>
      </c>
      <c r="Q31" s="53">
        <v>297.26998297556804</v>
      </c>
      <c r="R31" s="53">
        <f t="shared" ref="R31:R34" si="7">(C31-Q31)/B31*1000</f>
        <v>64.677822238476836</v>
      </c>
      <c r="S31" s="53">
        <f t="shared" ref="S31:S34" si="8">B31+Q31</f>
        <v>980.069982975568</v>
      </c>
      <c r="T31" s="53">
        <v>3.7471199433721551</v>
      </c>
      <c r="U31" s="53">
        <f t="shared" si="6"/>
        <v>1.8022972899322826E-2</v>
      </c>
      <c r="V31">
        <v>80</v>
      </c>
      <c r="W31">
        <v>26.93</v>
      </c>
      <c r="X31">
        <v>0.01</v>
      </c>
      <c r="AA31">
        <v>500</v>
      </c>
      <c r="AB31">
        <v>0</v>
      </c>
      <c r="AC31">
        <v>0</v>
      </c>
      <c r="AD31">
        <v>0</v>
      </c>
      <c r="AE31">
        <v>500</v>
      </c>
      <c r="AF31">
        <v>800</v>
      </c>
      <c r="AG31">
        <v>0.7</v>
      </c>
      <c r="AH31">
        <v>4.5</v>
      </c>
      <c r="AI31">
        <v>3</v>
      </c>
      <c r="AJ31">
        <v>0</v>
      </c>
      <c r="AL31">
        <v>0.94199999999999995</v>
      </c>
      <c r="AM31">
        <v>11.2</v>
      </c>
      <c r="AN31">
        <v>80.010000000000005</v>
      </c>
      <c r="AO31">
        <v>0</v>
      </c>
      <c r="AP31">
        <v>0.01</v>
      </c>
      <c r="AQ31">
        <v>0</v>
      </c>
    </row>
    <row r="32" spans="1:43" x14ac:dyDescent="0.3">
      <c r="A32">
        <v>120</v>
      </c>
      <c r="B32">
        <v>522.20000000000005</v>
      </c>
      <c r="C32">
        <v>261.101</v>
      </c>
      <c r="D32">
        <v>0</v>
      </c>
      <c r="E32" s="53">
        <v>654.2974000820285</v>
      </c>
      <c r="F32">
        <v>522.20000000000005</v>
      </c>
      <c r="G32" s="53">
        <v>0</v>
      </c>
      <c r="H32">
        <v>642.59677999999997</v>
      </c>
      <c r="I32">
        <v>642.59677999999997</v>
      </c>
      <c r="J32">
        <v>522.20000000000005</v>
      </c>
      <c r="K32">
        <v>261.101</v>
      </c>
      <c r="L32">
        <v>0</v>
      </c>
      <c r="M32">
        <v>522.20000000000005</v>
      </c>
      <c r="N32">
        <v>124.1</v>
      </c>
      <c r="O32">
        <v>1096.6712</v>
      </c>
      <c r="P32" s="53">
        <v>1.4037313627468235</v>
      </c>
      <c r="Q32" s="53">
        <v>209.52047811241596</v>
      </c>
      <c r="R32" s="53">
        <f t="shared" si="7"/>
        <v>98.775415334324094</v>
      </c>
      <c r="S32" s="53">
        <f t="shared" si="8"/>
        <v>731.720478112416</v>
      </c>
      <c r="T32" s="53">
        <v>2.675785779199396</v>
      </c>
      <c r="U32" s="53">
        <f t="shared" si="6"/>
        <v>1.1614924164553115E-2</v>
      </c>
      <c r="V32">
        <v>120</v>
      </c>
      <c r="W32">
        <v>26.08</v>
      </c>
      <c r="X32">
        <v>4.0000000000000001E-3</v>
      </c>
      <c r="AA32">
        <v>500</v>
      </c>
      <c r="AB32">
        <v>0</v>
      </c>
      <c r="AC32">
        <v>0</v>
      </c>
      <c r="AD32">
        <v>0</v>
      </c>
      <c r="AE32">
        <v>500</v>
      </c>
      <c r="AF32">
        <v>800</v>
      </c>
      <c r="AG32">
        <v>0.7</v>
      </c>
      <c r="AH32">
        <v>4.5</v>
      </c>
      <c r="AI32">
        <v>3</v>
      </c>
      <c r="AJ32">
        <v>0</v>
      </c>
      <c r="AL32">
        <v>0.48299999999999998</v>
      </c>
      <c r="AM32">
        <v>7.01</v>
      </c>
      <c r="AN32">
        <v>120</v>
      </c>
      <c r="AO32">
        <v>0</v>
      </c>
      <c r="AP32">
        <v>4.0000000000000001E-3</v>
      </c>
      <c r="AQ32">
        <v>0</v>
      </c>
    </row>
    <row r="33" spans="1:43" x14ac:dyDescent="0.3">
      <c r="A33">
        <v>200</v>
      </c>
      <c r="B33">
        <v>200.8</v>
      </c>
      <c r="C33">
        <v>100.426</v>
      </c>
      <c r="D33">
        <v>0</v>
      </c>
      <c r="E33" s="53">
        <v>299.02156658464929</v>
      </c>
      <c r="F33">
        <v>200.8</v>
      </c>
      <c r="G33" s="53">
        <v>0</v>
      </c>
      <c r="H33">
        <v>247.15790000000001</v>
      </c>
      <c r="I33">
        <v>247.15790000000001</v>
      </c>
      <c r="J33">
        <v>200.8</v>
      </c>
      <c r="K33">
        <v>100.426</v>
      </c>
      <c r="L33">
        <v>0</v>
      </c>
      <c r="M33">
        <v>200.8</v>
      </c>
      <c r="N33">
        <v>47.7</v>
      </c>
      <c r="O33">
        <v>1096.6712</v>
      </c>
      <c r="P33" s="53">
        <v>0.24983573817912647</v>
      </c>
      <c r="Q33" s="53">
        <v>63.865378765886653</v>
      </c>
      <c r="R33" s="53">
        <f t="shared" si="7"/>
        <v>182.07480694279553</v>
      </c>
      <c r="S33" s="53">
        <f t="shared" si="8"/>
        <v>264.66537876588666</v>
      </c>
      <c r="T33" s="53">
        <v>1.947129385782379</v>
      </c>
      <c r="U33" s="53">
        <f t="shared" si="6"/>
        <v>3.4567687829704066E-3</v>
      </c>
      <c r="V33">
        <v>200</v>
      </c>
      <c r="W33">
        <v>21.34</v>
      </c>
      <c r="X33">
        <v>1E-3</v>
      </c>
      <c r="AA33">
        <v>500</v>
      </c>
      <c r="AB33">
        <v>0</v>
      </c>
      <c r="AC33">
        <v>0</v>
      </c>
      <c r="AD33">
        <v>0</v>
      </c>
      <c r="AE33">
        <v>500</v>
      </c>
      <c r="AF33">
        <v>800</v>
      </c>
      <c r="AG33">
        <v>0.7</v>
      </c>
      <c r="AH33">
        <v>4.5</v>
      </c>
      <c r="AI33">
        <v>3</v>
      </c>
      <c r="AJ33">
        <v>0</v>
      </c>
      <c r="AL33">
        <v>0.13100000000000001</v>
      </c>
      <c r="AM33">
        <v>2.2599999999999998</v>
      </c>
      <c r="AN33">
        <v>200</v>
      </c>
      <c r="AO33">
        <v>0</v>
      </c>
      <c r="AP33">
        <v>1E-3</v>
      </c>
      <c r="AQ33">
        <v>0</v>
      </c>
    </row>
    <row r="34" spans="1:43" x14ac:dyDescent="0.3">
      <c r="A34">
        <v>220</v>
      </c>
      <c r="B34">
        <v>120.5</v>
      </c>
      <c r="C34">
        <v>60.256</v>
      </c>
      <c r="D34">
        <v>0</v>
      </c>
      <c r="E34" s="53">
        <v>192.88704384748928</v>
      </c>
      <c r="F34">
        <v>120.5</v>
      </c>
      <c r="G34" s="53">
        <v>0</v>
      </c>
      <c r="H34">
        <v>148.29642000000001</v>
      </c>
      <c r="I34">
        <v>148.29642000000001</v>
      </c>
      <c r="J34">
        <v>120.5</v>
      </c>
      <c r="K34">
        <v>60.256</v>
      </c>
      <c r="L34">
        <v>0</v>
      </c>
      <c r="M34">
        <v>120.5</v>
      </c>
      <c r="N34">
        <v>28.6</v>
      </c>
      <c r="O34">
        <v>1096.6712</v>
      </c>
      <c r="P34" s="53">
        <v>0.12041819647523402</v>
      </c>
      <c r="Q34" s="53">
        <v>33.776433529614607</v>
      </c>
      <c r="R34" s="53">
        <f t="shared" si="7"/>
        <v>219.74743958826051</v>
      </c>
      <c r="S34" s="53">
        <f t="shared" si="8"/>
        <v>154.27643352961462</v>
      </c>
      <c r="T34" s="53">
        <v>1.9043219548373369</v>
      </c>
      <c r="U34" s="53">
        <f t="shared" si="6"/>
        <v>1.981093593063457E-3</v>
      </c>
      <c r="V34">
        <v>220</v>
      </c>
      <c r="W34">
        <v>17.77</v>
      </c>
      <c r="X34">
        <v>0</v>
      </c>
      <c r="AA34">
        <v>500</v>
      </c>
      <c r="AB34">
        <v>0</v>
      </c>
      <c r="AC34">
        <v>0</v>
      </c>
      <c r="AD34">
        <v>0</v>
      </c>
      <c r="AE34">
        <v>500</v>
      </c>
      <c r="AF34">
        <v>800</v>
      </c>
      <c r="AG34">
        <v>0.7</v>
      </c>
      <c r="AH34">
        <v>4.5</v>
      </c>
      <c r="AI34">
        <v>3</v>
      </c>
      <c r="AJ34">
        <v>0</v>
      </c>
      <c r="AL34">
        <v>7.4999999999999997E-2</v>
      </c>
      <c r="AM34">
        <v>1.33</v>
      </c>
      <c r="AN34">
        <v>220</v>
      </c>
      <c r="AO34">
        <v>0</v>
      </c>
      <c r="AP34">
        <v>0</v>
      </c>
      <c r="AQ34">
        <v>0</v>
      </c>
    </row>
    <row r="37" spans="1:43" s="53" customFormat="1" x14ac:dyDescent="0.3">
      <c r="A37" s="53">
        <v>250</v>
      </c>
      <c r="B37" s="53" t="s">
        <v>419</v>
      </c>
      <c r="C37" s="53" t="s">
        <v>420</v>
      </c>
    </row>
    <row r="38" spans="1:43" s="53" customFormat="1" x14ac:dyDescent="0.3">
      <c r="A38" s="53" t="s">
        <v>370</v>
      </c>
      <c r="B38" s="53" t="s">
        <v>371</v>
      </c>
      <c r="C38" s="53" t="s">
        <v>372</v>
      </c>
      <c r="D38" s="53" t="s">
        <v>373</v>
      </c>
      <c r="F38" s="53" t="s">
        <v>374</v>
      </c>
      <c r="G38" s="53" t="s">
        <v>375</v>
      </c>
      <c r="H38" s="53" t="s">
        <v>376</v>
      </c>
      <c r="I38" s="53" t="s">
        <v>377</v>
      </c>
      <c r="J38" s="53" t="s">
        <v>378</v>
      </c>
      <c r="K38" s="53" t="s">
        <v>379</v>
      </c>
      <c r="L38" s="53" t="s">
        <v>380</v>
      </c>
      <c r="M38" s="53" t="s">
        <v>381</v>
      </c>
      <c r="N38" s="53" t="s">
        <v>382</v>
      </c>
      <c r="O38" s="53" t="s">
        <v>383</v>
      </c>
      <c r="V38" s="53" t="s">
        <v>384</v>
      </c>
      <c r="W38" s="53" t="s">
        <v>385</v>
      </c>
      <c r="X38" s="53" t="s">
        <v>386</v>
      </c>
      <c r="Y38" s="53" t="s">
        <v>387</v>
      </c>
      <c r="Z38" s="53" t="s">
        <v>388</v>
      </c>
      <c r="AA38" s="53" t="s">
        <v>368</v>
      </c>
      <c r="AB38" s="53" t="s">
        <v>369</v>
      </c>
      <c r="AC38" s="53" t="s">
        <v>389</v>
      </c>
      <c r="AD38" s="53" t="s">
        <v>390</v>
      </c>
      <c r="AE38" s="53" t="s">
        <v>391</v>
      </c>
      <c r="AF38" s="53" t="s">
        <v>392</v>
      </c>
      <c r="AG38" s="53" t="s">
        <v>393</v>
      </c>
      <c r="AH38" s="53" t="s">
        <v>394</v>
      </c>
      <c r="AI38" s="53" t="s">
        <v>395</v>
      </c>
      <c r="AJ38" s="53" t="s">
        <v>396</v>
      </c>
      <c r="AK38" s="53" t="s">
        <v>397</v>
      </c>
      <c r="AL38" s="53" t="s">
        <v>398</v>
      </c>
      <c r="AM38" s="53" t="s">
        <v>399</v>
      </c>
      <c r="AN38" s="53" t="s">
        <v>400</v>
      </c>
      <c r="AO38" s="53" t="s">
        <v>401</v>
      </c>
      <c r="AP38" s="53" t="s">
        <v>402</v>
      </c>
      <c r="AQ38" s="53" t="s">
        <v>403</v>
      </c>
    </row>
    <row r="39" spans="1:43" s="53" customFormat="1" x14ac:dyDescent="0.3"/>
    <row r="40" spans="1:43" s="53" customFormat="1" x14ac:dyDescent="0.3">
      <c r="A40" s="53" t="s">
        <v>404</v>
      </c>
      <c r="B40" s="53" t="s">
        <v>405</v>
      </c>
      <c r="C40" s="53" t="s">
        <v>406</v>
      </c>
      <c r="D40" s="53" t="s">
        <v>405</v>
      </c>
      <c r="E40" s="53" t="s">
        <v>475</v>
      </c>
      <c r="F40" s="53" t="s">
        <v>405</v>
      </c>
      <c r="G40" s="53" t="s">
        <v>407</v>
      </c>
      <c r="H40" s="53" t="s">
        <v>408</v>
      </c>
      <c r="I40" s="53" t="s">
        <v>408</v>
      </c>
      <c r="J40" s="53" t="s">
        <v>405</v>
      </c>
      <c r="K40" s="53" t="s">
        <v>406</v>
      </c>
      <c r="L40" s="53" t="s">
        <v>405</v>
      </c>
      <c r="M40" s="53" t="s">
        <v>405</v>
      </c>
      <c r="N40" s="53" t="s">
        <v>409</v>
      </c>
      <c r="O40" s="53" t="s">
        <v>410</v>
      </c>
      <c r="P40" s="53" t="s">
        <v>479</v>
      </c>
      <c r="Q40" s="53" t="s">
        <v>480</v>
      </c>
      <c r="R40" s="53" t="s">
        <v>474</v>
      </c>
      <c r="S40" s="53" t="s">
        <v>478</v>
      </c>
      <c r="T40" s="53" t="s">
        <v>476</v>
      </c>
      <c r="U40" s="53" t="s">
        <v>477</v>
      </c>
      <c r="V40" s="53" t="s">
        <v>404</v>
      </c>
      <c r="W40" s="53" t="s">
        <v>411</v>
      </c>
      <c r="X40" s="53" t="s">
        <v>412</v>
      </c>
      <c r="AA40" s="53" t="s">
        <v>413</v>
      </c>
      <c r="AB40" s="53" t="s">
        <v>414</v>
      </c>
      <c r="AC40" s="53" t="s">
        <v>413</v>
      </c>
      <c r="AD40" s="53" t="s">
        <v>413</v>
      </c>
      <c r="AE40" s="53" t="s">
        <v>413</v>
      </c>
      <c r="AF40" s="53" t="s">
        <v>415</v>
      </c>
      <c r="AG40" s="53" t="s">
        <v>416</v>
      </c>
      <c r="AH40" s="53" t="s">
        <v>414</v>
      </c>
      <c r="AI40" s="53" t="s">
        <v>414</v>
      </c>
      <c r="AJ40" s="53" t="s">
        <v>414</v>
      </c>
      <c r="AK40" s="53" t="s">
        <v>417</v>
      </c>
      <c r="AL40" s="53" t="s">
        <v>418</v>
      </c>
      <c r="AN40" s="53" t="s">
        <v>404</v>
      </c>
      <c r="AO40" s="53" t="s">
        <v>412</v>
      </c>
      <c r="AP40" s="53" t="s">
        <v>412</v>
      </c>
      <c r="AQ40" s="53" t="s">
        <v>412</v>
      </c>
    </row>
    <row r="41" spans="1:43" x14ac:dyDescent="0.3">
      <c r="A41">
        <v>20</v>
      </c>
      <c r="B41">
        <v>923.5</v>
      </c>
      <c r="C41">
        <v>923.58399999999995</v>
      </c>
      <c r="D41">
        <v>0</v>
      </c>
      <c r="E41" s="53">
        <v>1013.6930057261857</v>
      </c>
      <c r="F41">
        <v>923.5</v>
      </c>
      <c r="G41" s="53">
        <v>0</v>
      </c>
      <c r="H41">
        <v>1534.1242</v>
      </c>
      <c r="I41">
        <v>1534.1242</v>
      </c>
      <c r="J41">
        <v>923.5</v>
      </c>
      <c r="K41">
        <v>923.58399999999995</v>
      </c>
      <c r="L41">
        <v>0</v>
      </c>
      <c r="M41">
        <v>923.5</v>
      </c>
      <c r="N41">
        <v>439</v>
      </c>
      <c r="O41">
        <v>1096.6712</v>
      </c>
      <c r="P41" s="53">
        <v>56.565036322846922</v>
      </c>
      <c r="Q41" s="53">
        <v>910.69832138721699</v>
      </c>
      <c r="R41" s="53">
        <f>(C41-Q41)/B41*1000</f>
        <v>13.953089997599299</v>
      </c>
      <c r="S41" s="53">
        <f>B41+Q41</f>
        <v>1834.198321387217</v>
      </c>
      <c r="T41" s="53">
        <v>11.303735816908848</v>
      </c>
      <c r="U41" s="53">
        <f>SQRT(LN(T41)*S41^2)/$A$25^2</f>
        <v>4.5701881461758277E-2</v>
      </c>
      <c r="V41">
        <v>19.920000000000002</v>
      </c>
      <c r="W41">
        <v>28.24</v>
      </c>
      <c r="X41">
        <v>0.17</v>
      </c>
      <c r="AA41">
        <v>1000</v>
      </c>
      <c r="AB41">
        <v>0</v>
      </c>
      <c r="AC41">
        <v>0</v>
      </c>
      <c r="AD41">
        <v>0</v>
      </c>
      <c r="AE41">
        <v>1000</v>
      </c>
      <c r="AF41">
        <v>800</v>
      </c>
      <c r="AG41">
        <v>0.7</v>
      </c>
      <c r="AH41">
        <v>4.5</v>
      </c>
      <c r="AI41">
        <v>3</v>
      </c>
      <c r="AJ41">
        <v>0</v>
      </c>
      <c r="AL41">
        <v>11.138999999999999</v>
      </c>
      <c r="AM41">
        <v>52.05</v>
      </c>
      <c r="AN41">
        <v>20.09</v>
      </c>
      <c r="AO41">
        <v>0</v>
      </c>
      <c r="AP41">
        <v>0.17</v>
      </c>
      <c r="AQ41">
        <v>0</v>
      </c>
    </row>
    <row r="42" spans="1:43" x14ac:dyDescent="0.3">
      <c r="A42">
        <v>50</v>
      </c>
      <c r="B42">
        <v>803.2</v>
      </c>
      <c r="C42">
        <v>803.24099999999999</v>
      </c>
      <c r="D42">
        <v>0</v>
      </c>
      <c r="E42" s="53">
        <v>895.339928777203</v>
      </c>
      <c r="F42">
        <v>803.2</v>
      </c>
      <c r="G42" s="53">
        <v>0</v>
      </c>
      <c r="H42">
        <v>1334.2288000000001</v>
      </c>
      <c r="I42">
        <v>1334.2288000000001</v>
      </c>
      <c r="J42">
        <v>803.2</v>
      </c>
      <c r="K42">
        <v>803.24099999999999</v>
      </c>
      <c r="L42">
        <v>0</v>
      </c>
      <c r="M42">
        <v>803.2</v>
      </c>
      <c r="N42">
        <v>381.8</v>
      </c>
      <c r="O42">
        <v>1096.6712</v>
      </c>
      <c r="P42" s="53">
        <v>14.898239718384986</v>
      </c>
      <c r="Q42" s="53">
        <v>771.55483062211715</v>
      </c>
      <c r="R42" s="53">
        <f>(C42-Q42)/B42*1000</f>
        <v>39.449912074057309</v>
      </c>
      <c r="S42" s="53">
        <f>B42+Q42</f>
        <v>1574.7548306221172</v>
      </c>
      <c r="T42" s="53">
        <v>5.1974547710696157</v>
      </c>
      <c r="U42" s="53">
        <f t="shared" ref="U42:U46" si="9">SQRT(LN(T42)*S42^2)/$A$25^2</f>
        <v>3.2346985038676793E-2</v>
      </c>
      <c r="V42">
        <v>49.99</v>
      </c>
      <c r="W42">
        <v>27.99</v>
      </c>
      <c r="X42">
        <v>5.3999999999999999E-2</v>
      </c>
      <c r="AA42">
        <v>1000</v>
      </c>
      <c r="AB42">
        <v>0</v>
      </c>
      <c r="AC42">
        <v>0</v>
      </c>
      <c r="AD42">
        <v>0</v>
      </c>
      <c r="AE42">
        <v>1000</v>
      </c>
      <c r="AF42">
        <v>800</v>
      </c>
      <c r="AG42">
        <v>0.7</v>
      </c>
      <c r="AH42">
        <v>4.5</v>
      </c>
      <c r="AI42">
        <v>3</v>
      </c>
      <c r="AJ42">
        <v>0</v>
      </c>
      <c r="AL42">
        <v>3.6320000000000001</v>
      </c>
      <c r="AM42">
        <v>27.72</v>
      </c>
      <c r="AN42">
        <v>50.04</v>
      </c>
      <c r="AO42">
        <v>0</v>
      </c>
      <c r="AP42">
        <v>5.3999999999999999E-2</v>
      </c>
      <c r="AQ42">
        <v>0</v>
      </c>
    </row>
    <row r="43" spans="1:43" x14ac:dyDescent="0.3">
      <c r="A43">
        <v>80</v>
      </c>
      <c r="B43">
        <v>682.8</v>
      </c>
      <c r="C43">
        <v>682.82</v>
      </c>
      <c r="D43">
        <v>0</v>
      </c>
      <c r="E43" s="53">
        <v>798.77395753132782</v>
      </c>
      <c r="F43">
        <v>682.8</v>
      </c>
      <c r="G43" s="53">
        <v>0</v>
      </c>
      <c r="H43">
        <v>1134.2029</v>
      </c>
      <c r="I43">
        <v>1134.2029</v>
      </c>
      <c r="J43">
        <v>682.8</v>
      </c>
      <c r="K43">
        <v>682.82</v>
      </c>
      <c r="L43">
        <v>0</v>
      </c>
      <c r="M43">
        <v>682.8</v>
      </c>
      <c r="N43">
        <v>324.60000000000002</v>
      </c>
      <c r="O43">
        <v>1096.6712</v>
      </c>
      <c r="P43" s="53">
        <v>7.0384208033604114</v>
      </c>
      <c r="Q43" s="53">
        <v>638.77752817578255</v>
      </c>
      <c r="R43" s="53">
        <f t="shared" ref="R43:R46" si="10">(C43-Q43)/B43*1000</f>
        <v>64.502741394577484</v>
      </c>
      <c r="S43" s="53">
        <f t="shared" ref="S43:S46" si="11">B43+Q43</f>
        <v>1321.5775281757824</v>
      </c>
      <c r="T43" s="53">
        <v>3.4404265193135153</v>
      </c>
      <c r="U43" s="53">
        <f t="shared" si="9"/>
        <v>2.3504487090751303E-2</v>
      </c>
      <c r="V43">
        <v>80</v>
      </c>
      <c r="W43">
        <v>27.66</v>
      </c>
      <c r="X43">
        <v>2.5000000000000001E-2</v>
      </c>
      <c r="AA43">
        <v>1000</v>
      </c>
      <c r="AB43">
        <v>0</v>
      </c>
      <c r="AC43">
        <v>0</v>
      </c>
      <c r="AD43">
        <v>0</v>
      </c>
      <c r="AE43">
        <v>1000</v>
      </c>
      <c r="AF43">
        <v>800</v>
      </c>
      <c r="AG43">
        <v>0.7</v>
      </c>
      <c r="AH43">
        <v>4.5</v>
      </c>
      <c r="AI43">
        <v>3</v>
      </c>
      <c r="AJ43">
        <v>0</v>
      </c>
      <c r="AL43">
        <v>1.835</v>
      </c>
      <c r="AM43">
        <v>18.170000000000002</v>
      </c>
      <c r="AN43">
        <v>80.02</v>
      </c>
      <c r="AO43">
        <v>0</v>
      </c>
      <c r="AP43">
        <v>2.5000000000000001E-2</v>
      </c>
      <c r="AQ43">
        <v>0</v>
      </c>
    </row>
    <row r="44" spans="1:43" x14ac:dyDescent="0.3">
      <c r="A44">
        <v>120</v>
      </c>
      <c r="B44">
        <v>522.20000000000005</v>
      </c>
      <c r="C44">
        <v>522.17899999999997</v>
      </c>
      <c r="D44">
        <v>0</v>
      </c>
      <c r="E44" s="53">
        <v>656.24979104480121</v>
      </c>
      <c r="F44">
        <v>522.20000000000005</v>
      </c>
      <c r="G44" s="53">
        <v>0</v>
      </c>
      <c r="H44">
        <v>867.36779999999999</v>
      </c>
      <c r="I44">
        <v>867.36779999999999</v>
      </c>
      <c r="J44">
        <v>522.20000000000005</v>
      </c>
      <c r="K44">
        <v>522.17899999999997</v>
      </c>
      <c r="L44">
        <v>0</v>
      </c>
      <c r="M44">
        <v>522.20000000000005</v>
      </c>
      <c r="N44">
        <v>248.2</v>
      </c>
      <c r="O44">
        <v>1096.6712</v>
      </c>
      <c r="P44" s="53">
        <v>3.176262399174405</v>
      </c>
      <c r="Q44" s="53">
        <v>470.74031419619206</v>
      </c>
      <c r="R44" s="53">
        <f t="shared" si="10"/>
        <v>98.503802764856204</v>
      </c>
      <c r="S44" s="53">
        <f t="shared" si="11"/>
        <v>992.94031419619205</v>
      </c>
      <c r="T44" s="53">
        <v>2.4528632702614166</v>
      </c>
      <c r="U44" s="53">
        <f t="shared" si="9"/>
        <v>1.5048780851021898E-2</v>
      </c>
      <c r="V44">
        <v>120</v>
      </c>
      <c r="W44">
        <v>27</v>
      </c>
      <c r="X44">
        <v>1.0999999999999999E-2</v>
      </c>
      <c r="AA44">
        <v>1000</v>
      </c>
      <c r="AB44">
        <v>0</v>
      </c>
      <c r="AC44">
        <v>0</v>
      </c>
      <c r="AD44">
        <v>0</v>
      </c>
      <c r="AE44">
        <v>1000</v>
      </c>
      <c r="AF44">
        <v>800</v>
      </c>
      <c r="AG44">
        <v>0.7</v>
      </c>
      <c r="AH44">
        <v>4.5</v>
      </c>
      <c r="AI44">
        <v>3</v>
      </c>
      <c r="AJ44">
        <v>0</v>
      </c>
      <c r="AL44">
        <v>0.90800000000000003</v>
      </c>
      <c r="AM44">
        <v>11.17</v>
      </c>
      <c r="AN44">
        <v>120.01</v>
      </c>
      <c r="AO44">
        <v>0</v>
      </c>
      <c r="AP44">
        <v>1.0999999999999999E-2</v>
      </c>
      <c r="AQ44">
        <v>0</v>
      </c>
    </row>
    <row r="45" spans="1:43" x14ac:dyDescent="0.3">
      <c r="A45">
        <v>200</v>
      </c>
      <c r="B45">
        <v>200.8</v>
      </c>
      <c r="C45">
        <v>200.84800000000001</v>
      </c>
      <c r="D45">
        <v>0</v>
      </c>
      <c r="E45" s="53">
        <v>298.79522796735768</v>
      </c>
      <c r="F45">
        <v>200.8</v>
      </c>
      <c r="G45" s="53">
        <v>0</v>
      </c>
      <c r="H45">
        <v>333.62024000000002</v>
      </c>
      <c r="I45">
        <v>333.62024000000002</v>
      </c>
      <c r="J45">
        <v>200.8</v>
      </c>
      <c r="K45">
        <v>200.84800000000001</v>
      </c>
      <c r="L45">
        <v>0</v>
      </c>
      <c r="M45">
        <v>200.8</v>
      </c>
      <c r="N45">
        <v>95.5</v>
      </c>
      <c r="O45">
        <v>1096.6712</v>
      </c>
      <c r="P45" s="53">
        <v>0.65184381055460416</v>
      </c>
      <c r="Q45" s="53">
        <v>164.64521213678177</v>
      </c>
      <c r="R45" s="53">
        <f t="shared" si="10"/>
        <v>180.29276824311876</v>
      </c>
      <c r="S45" s="53">
        <f t="shared" si="11"/>
        <v>365.44521213678178</v>
      </c>
      <c r="T45" s="53">
        <v>1.7678581774383235</v>
      </c>
      <c r="U45" s="53">
        <f t="shared" si="9"/>
        <v>4.4135857617644851E-3</v>
      </c>
      <c r="V45">
        <v>200</v>
      </c>
      <c r="W45">
        <v>23.1</v>
      </c>
      <c r="X45">
        <v>1E-3</v>
      </c>
      <c r="AA45">
        <v>1000</v>
      </c>
      <c r="AB45">
        <v>0</v>
      </c>
      <c r="AC45">
        <v>0</v>
      </c>
      <c r="AD45">
        <v>0</v>
      </c>
      <c r="AE45">
        <v>1000</v>
      </c>
      <c r="AF45">
        <v>800</v>
      </c>
      <c r="AG45">
        <v>0.7</v>
      </c>
      <c r="AH45">
        <v>4.5</v>
      </c>
      <c r="AI45">
        <v>3</v>
      </c>
      <c r="AJ45">
        <v>0</v>
      </c>
      <c r="AL45">
        <v>0.22800000000000001</v>
      </c>
      <c r="AM45">
        <v>3.47</v>
      </c>
      <c r="AN45">
        <v>200</v>
      </c>
      <c r="AO45">
        <v>0</v>
      </c>
      <c r="AP45">
        <v>1E-3</v>
      </c>
      <c r="AQ45">
        <v>0</v>
      </c>
    </row>
    <row r="46" spans="1:43" x14ac:dyDescent="0.3">
      <c r="A46">
        <v>220</v>
      </c>
      <c r="B46">
        <v>120.5</v>
      </c>
      <c r="C46">
        <v>120.51</v>
      </c>
      <c r="D46">
        <v>0</v>
      </c>
      <c r="E46" s="53">
        <v>192.33674125482267</v>
      </c>
      <c r="F46">
        <v>120.5</v>
      </c>
      <c r="G46" s="53">
        <v>0</v>
      </c>
      <c r="H46">
        <v>200.17393000000001</v>
      </c>
      <c r="I46">
        <v>200.17393000000001</v>
      </c>
      <c r="J46">
        <v>120.5</v>
      </c>
      <c r="K46">
        <v>120.51</v>
      </c>
      <c r="L46">
        <v>0</v>
      </c>
      <c r="M46">
        <v>120.5</v>
      </c>
      <c r="N46">
        <v>57.3</v>
      </c>
      <c r="O46">
        <v>1096.6712</v>
      </c>
      <c r="P46" s="53">
        <v>0.34109829849931794</v>
      </c>
      <c r="Q46" s="53">
        <v>94.385782357211852</v>
      </c>
      <c r="R46" s="53">
        <f t="shared" si="10"/>
        <v>216.79848666214235</v>
      </c>
      <c r="S46" s="53">
        <f t="shared" si="11"/>
        <v>214.88578235721184</v>
      </c>
      <c r="T46" s="53">
        <v>1.7367572299678415</v>
      </c>
      <c r="U46" s="53">
        <f t="shared" si="9"/>
        <v>2.5544944193336885E-3</v>
      </c>
      <c r="V46">
        <v>220</v>
      </c>
      <c r="W46">
        <v>19.88</v>
      </c>
      <c r="X46">
        <v>1E-3</v>
      </c>
      <c r="AA46">
        <v>1000</v>
      </c>
      <c r="AB46">
        <v>0</v>
      </c>
      <c r="AC46">
        <v>0</v>
      </c>
      <c r="AD46">
        <v>0</v>
      </c>
      <c r="AE46">
        <v>1000</v>
      </c>
      <c r="AF46">
        <v>800</v>
      </c>
      <c r="AG46">
        <v>0.7</v>
      </c>
      <c r="AH46">
        <v>4.5</v>
      </c>
      <c r="AI46">
        <v>3</v>
      </c>
      <c r="AJ46">
        <v>0</v>
      </c>
      <c r="AL46">
        <v>0.129</v>
      </c>
      <c r="AM46">
        <v>2.02</v>
      </c>
      <c r="AN46">
        <v>220</v>
      </c>
      <c r="AO46">
        <v>0</v>
      </c>
      <c r="AP46">
        <v>1E-3</v>
      </c>
      <c r="AQ46">
        <v>0</v>
      </c>
    </row>
    <row r="47" spans="1:43" x14ac:dyDescent="0.3">
      <c r="I47" s="7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70"/>
  <sheetViews>
    <sheetView workbookViewId="0">
      <selection activeCell="G5" sqref="G5:J5"/>
    </sheetView>
  </sheetViews>
  <sheetFormatPr defaultRowHeight="14.4" x14ac:dyDescent="0.3"/>
  <cols>
    <col min="16" max="16" width="12" bestFit="1" customWidth="1"/>
    <col min="17" max="17" width="9" bestFit="1" customWidth="1"/>
    <col min="18" max="18" width="11" bestFit="1" customWidth="1"/>
    <col min="19" max="19" width="9" bestFit="1" customWidth="1"/>
    <col min="21" max="21" width="8.88671875" style="53"/>
  </cols>
  <sheetData>
    <row r="1" spans="1:24" x14ac:dyDescent="0.3">
      <c r="G1" s="47">
        <v>120.5</v>
      </c>
      <c r="H1" s="47">
        <v>120.51</v>
      </c>
      <c r="I1" s="47">
        <v>220</v>
      </c>
      <c r="J1" s="47">
        <v>19.88</v>
      </c>
      <c r="L1" t="s">
        <v>470</v>
      </c>
      <c r="M1" s="47">
        <f>I1</f>
        <v>220</v>
      </c>
      <c r="O1" s="72" t="s">
        <v>473</v>
      </c>
      <c r="P1" s="77" t="s">
        <v>471</v>
      </c>
      <c r="Q1" s="77" t="s">
        <v>472</v>
      </c>
      <c r="R1" s="81" t="s">
        <v>474</v>
      </c>
      <c r="S1" t="s">
        <v>476</v>
      </c>
    </row>
    <row r="2" spans="1:24" x14ac:dyDescent="0.3">
      <c r="A2" t="s">
        <v>451</v>
      </c>
      <c r="H2">
        <f>H1-G1*M5/1000</f>
        <v>94.385782357211852</v>
      </c>
      <c r="L2" t="s">
        <v>473</v>
      </c>
      <c r="M2" s="47">
        <f>J1</f>
        <v>19.88</v>
      </c>
      <c r="O2" s="73">
        <v>10</v>
      </c>
      <c r="P2" s="78">
        <f>LinInterp(B11:B30,G11:G30,M1)</f>
        <v>1.6232841820087796</v>
      </c>
      <c r="Q2" s="78">
        <f>LinInterp(B11:B30,K11:K30,M1)</f>
        <v>3.3857465373779731E-3</v>
      </c>
      <c r="R2" s="74">
        <f>LinInterp(B11:B30,D11:D30,M1)</f>
        <v>230.60686123304725</v>
      </c>
      <c r="S2" s="53">
        <f>LinInterp(B11:B30,F11:F30,M1)</f>
        <v>2.521373513726004</v>
      </c>
      <c r="T2" s="53"/>
    </row>
    <row r="3" spans="1:24" x14ac:dyDescent="0.3">
      <c r="A3" t="s">
        <v>452</v>
      </c>
      <c r="G3">
        <f>G1*M3</f>
        <v>191.99564295632337</v>
      </c>
      <c r="H3" s="82">
        <f>H2*M4</f>
        <v>0.34109829849931794</v>
      </c>
      <c r="L3" t="s">
        <v>471</v>
      </c>
      <c r="M3" s="80">
        <f>LinInterp(O2:O4,P2:P4,M2)</f>
        <v>1.5933248378118121</v>
      </c>
      <c r="O3" s="73">
        <v>30</v>
      </c>
      <c r="P3" s="78">
        <f>LinInterp(B31:B50,G31:G50,M1)</f>
        <v>1.5626377311144599</v>
      </c>
      <c r="Q3" s="78">
        <f>LinInterp(B31:B50,K31:K50,M1)</f>
        <v>3.8475424949223616E-3</v>
      </c>
      <c r="R3" s="74">
        <f>LinInterp(B31:B50,D31:D50,M1)</f>
        <v>202.65468361396842</v>
      </c>
      <c r="S3" s="53">
        <f>LinInterp(B31:B50,F31:F50,M1)</f>
        <v>0.9330813064273078</v>
      </c>
      <c r="T3" s="53"/>
    </row>
    <row r="4" spans="1:24" x14ac:dyDescent="0.3">
      <c r="A4" t="s">
        <v>451</v>
      </c>
      <c r="G4" s="80">
        <f>G3+H3</f>
        <v>192.33674125482267</v>
      </c>
      <c r="L4" t="s">
        <v>472</v>
      </c>
      <c r="M4" s="80">
        <f>LinInterp(O2:O4,Q2:Q4,M2)</f>
        <v>3.6138737210271716E-3</v>
      </c>
      <c r="O4" s="75">
        <v>50</v>
      </c>
      <c r="P4" s="79">
        <f>LinInterp(B51:B70,G51:G70,M1)</f>
        <v>1.5249948116359824</v>
      </c>
      <c r="Q4" s="79">
        <f>LinInterp(B51:B70,K51:K70,M1)</f>
        <v>4.3233109283889138E-3</v>
      </c>
      <c r="R4" s="76">
        <f>LinInterp(B51:B70,D51:D70,M1)</f>
        <v>181.89394391666121</v>
      </c>
      <c r="S4" s="53">
        <f>LinInterp(B51:B70,F51:F70,M1)</f>
        <v>0.62299910437004524</v>
      </c>
      <c r="T4" s="53"/>
    </row>
    <row r="5" spans="1:24" x14ac:dyDescent="0.3">
      <c r="G5">
        <f>G4</f>
        <v>192.33674125482267</v>
      </c>
      <c r="H5">
        <f>H3</f>
        <v>0.34109829849931794</v>
      </c>
      <c r="I5">
        <f>H2</f>
        <v>94.385782357211852</v>
      </c>
      <c r="J5">
        <f>M6</f>
        <v>1.7367572299678415</v>
      </c>
      <c r="L5" t="s">
        <v>474</v>
      </c>
      <c r="M5" s="80">
        <f>LinInterp(O2:O4,R2:R4,M2)</f>
        <v>216.79848666214235</v>
      </c>
    </row>
    <row r="6" spans="1:24" x14ac:dyDescent="0.3">
      <c r="A6" t="s">
        <v>422</v>
      </c>
      <c r="B6" t="s">
        <v>421</v>
      </c>
      <c r="C6" t="s">
        <v>423</v>
      </c>
      <c r="D6" t="s">
        <v>425</v>
      </c>
      <c r="E6" t="s">
        <v>423</v>
      </c>
      <c r="F6" t="s">
        <v>421</v>
      </c>
      <c r="G6" t="s">
        <v>421</v>
      </c>
      <c r="H6" t="s">
        <v>431</v>
      </c>
      <c r="I6" t="s">
        <v>423</v>
      </c>
      <c r="J6" t="s">
        <v>421</v>
      </c>
      <c r="K6" t="s">
        <v>421</v>
      </c>
      <c r="L6" t="s">
        <v>476</v>
      </c>
      <c r="M6" s="82">
        <f>LinInterp(O2:O4,S2:S4,M2)</f>
        <v>1.7367572299678415</v>
      </c>
      <c r="N6" t="s">
        <v>421</v>
      </c>
      <c r="O6" t="s">
        <v>421</v>
      </c>
      <c r="P6" t="s">
        <v>431</v>
      </c>
      <c r="Q6" t="s">
        <v>422</v>
      </c>
      <c r="R6" t="s">
        <v>423</v>
      </c>
      <c r="S6" t="s">
        <v>421</v>
      </c>
      <c r="T6" t="s">
        <v>421</v>
      </c>
    </row>
    <row r="7" spans="1:24" x14ac:dyDescent="0.3">
      <c r="A7" t="s">
        <v>422</v>
      </c>
      <c r="B7" t="s">
        <v>421</v>
      </c>
      <c r="C7" t="s">
        <v>430</v>
      </c>
      <c r="D7" t="s">
        <v>424</v>
      </c>
      <c r="E7" t="s">
        <v>427</v>
      </c>
      <c r="F7" t="s">
        <v>424</v>
      </c>
      <c r="G7" t="s">
        <v>427</v>
      </c>
      <c r="H7" t="s">
        <v>453</v>
      </c>
      <c r="I7" t="s">
        <v>428</v>
      </c>
      <c r="J7" t="s">
        <v>425</v>
      </c>
      <c r="K7" t="s">
        <v>425</v>
      </c>
      <c r="L7" t="s">
        <v>454</v>
      </c>
      <c r="M7" t="s">
        <v>429</v>
      </c>
      <c r="N7" t="s">
        <v>426</v>
      </c>
      <c r="O7" t="s">
        <v>429</v>
      </c>
      <c r="P7" t="s">
        <v>455</v>
      </c>
      <c r="Q7" t="s">
        <v>456</v>
      </c>
      <c r="R7" t="s">
        <v>457</v>
      </c>
      <c r="S7" t="s">
        <v>458</v>
      </c>
      <c r="T7" t="s">
        <v>459</v>
      </c>
      <c r="V7" s="53"/>
      <c r="W7" s="53"/>
      <c r="X7" s="53"/>
    </row>
    <row r="8" spans="1:24" x14ac:dyDescent="0.3">
      <c r="A8" t="s">
        <v>434</v>
      </c>
      <c r="B8" t="s">
        <v>432</v>
      </c>
      <c r="C8" t="s">
        <v>460</v>
      </c>
      <c r="D8" t="s">
        <v>461</v>
      </c>
      <c r="E8" t="s">
        <v>435</v>
      </c>
      <c r="F8" t="s">
        <v>436</v>
      </c>
      <c r="G8" t="s">
        <v>437</v>
      </c>
      <c r="H8" t="s">
        <v>462</v>
      </c>
      <c r="I8" t="s">
        <v>435</v>
      </c>
      <c r="J8" t="s">
        <v>436</v>
      </c>
      <c r="K8" t="s">
        <v>438</v>
      </c>
      <c r="L8" t="s">
        <v>433</v>
      </c>
      <c r="M8" t="s">
        <v>435</v>
      </c>
      <c r="N8" t="s">
        <v>436</v>
      </c>
      <c r="O8" t="s">
        <v>437</v>
      </c>
      <c r="P8" t="s">
        <v>462</v>
      </c>
      <c r="Q8" t="s">
        <v>463</v>
      </c>
      <c r="R8" t="s">
        <v>464</v>
      </c>
      <c r="S8" t="s">
        <v>463</v>
      </c>
      <c r="T8" t="s">
        <v>463</v>
      </c>
      <c r="V8" s="53"/>
      <c r="W8" s="53"/>
      <c r="X8" s="53"/>
    </row>
    <row r="9" spans="1:24" x14ac:dyDescent="0.3">
      <c r="A9" t="s">
        <v>440</v>
      </c>
      <c r="B9" t="s">
        <v>439</v>
      </c>
      <c r="C9" t="s">
        <v>465</v>
      </c>
      <c r="D9" t="s">
        <v>466</v>
      </c>
      <c r="E9" t="s">
        <v>441</v>
      </c>
      <c r="F9" t="s">
        <v>442</v>
      </c>
      <c r="G9" t="s">
        <v>444</v>
      </c>
      <c r="H9" t="s">
        <v>467</v>
      </c>
      <c r="I9" t="s">
        <v>441</v>
      </c>
      <c r="J9" t="s">
        <v>442</v>
      </c>
      <c r="K9" t="s">
        <v>444</v>
      </c>
      <c r="L9" t="s">
        <v>423</v>
      </c>
      <c r="M9" t="s">
        <v>441</v>
      </c>
      <c r="N9" t="s">
        <v>442</v>
      </c>
      <c r="O9" t="s">
        <v>444</v>
      </c>
      <c r="P9" t="s">
        <v>467</v>
      </c>
      <c r="Q9" t="s">
        <v>443</v>
      </c>
      <c r="R9" t="s">
        <v>468</v>
      </c>
      <c r="S9" t="s">
        <v>469</v>
      </c>
      <c r="T9" t="s">
        <v>469</v>
      </c>
    </row>
    <row r="10" spans="1:24" x14ac:dyDescent="0.3">
      <c r="A10" t="s">
        <v>446</v>
      </c>
      <c r="B10" t="s">
        <v>445</v>
      </c>
      <c r="C10" t="s">
        <v>448</v>
      </c>
      <c r="D10" t="s">
        <v>447</v>
      </c>
      <c r="E10" t="s">
        <v>448</v>
      </c>
      <c r="F10" t="s">
        <v>447</v>
      </c>
      <c r="G10" t="s">
        <v>445</v>
      </c>
      <c r="H10" t="s">
        <v>450</v>
      </c>
      <c r="I10" t="s">
        <v>448</v>
      </c>
      <c r="J10" t="s">
        <v>447</v>
      </c>
      <c r="K10" t="s">
        <v>447</v>
      </c>
      <c r="L10" t="s">
        <v>448</v>
      </c>
      <c r="M10" t="s">
        <v>448</v>
      </c>
      <c r="N10" t="s">
        <v>447</v>
      </c>
      <c r="O10" t="s">
        <v>445</v>
      </c>
      <c r="P10" t="s">
        <v>450</v>
      </c>
      <c r="Q10" t="s">
        <v>449</v>
      </c>
      <c r="R10" t="s">
        <v>448</v>
      </c>
      <c r="S10" t="s">
        <v>447</v>
      </c>
      <c r="T10" t="s">
        <v>447</v>
      </c>
    </row>
    <row r="11" spans="1:24" x14ac:dyDescent="0.3">
      <c r="A11">
        <v>10</v>
      </c>
      <c r="B11">
        <v>10</v>
      </c>
      <c r="C11">
        <v>271.98099999999999</v>
      </c>
      <c r="D11">
        <v>6.1230599999999997</v>
      </c>
      <c r="E11">
        <v>848.19899999999996</v>
      </c>
      <c r="F11">
        <v>83.498199999999997</v>
      </c>
      <c r="G11">
        <v>1.0027999999999999</v>
      </c>
      <c r="H11">
        <v>1.769E-3</v>
      </c>
      <c r="I11">
        <v>9.1942799999999991</v>
      </c>
      <c r="J11">
        <v>1.0255E-2</v>
      </c>
      <c r="K11">
        <v>9.7073999999999994E-2</v>
      </c>
      <c r="L11">
        <v>0.97116999999999998</v>
      </c>
      <c r="M11">
        <v>1103.8800000000001</v>
      </c>
      <c r="N11">
        <v>1.8046599999999999</v>
      </c>
      <c r="O11">
        <v>0.99955000000000005</v>
      </c>
      <c r="P11" s="71">
        <v>4.7800000000000003E-5</v>
      </c>
      <c r="Q11">
        <v>16.4314</v>
      </c>
      <c r="R11">
        <v>16.4314</v>
      </c>
      <c r="S11">
        <v>99.64</v>
      </c>
      <c r="T11">
        <v>22.4754</v>
      </c>
    </row>
    <row r="12" spans="1:24" x14ac:dyDescent="0.3">
      <c r="A12">
        <v>10</v>
      </c>
      <c r="B12">
        <v>25.263200000000001</v>
      </c>
      <c r="C12">
        <v>271.98099999999999</v>
      </c>
      <c r="D12">
        <v>19.8352</v>
      </c>
      <c r="E12">
        <v>836.23099999999999</v>
      </c>
      <c r="F12">
        <v>39.642299999999999</v>
      </c>
      <c r="G12">
        <v>1.03179</v>
      </c>
      <c r="H12">
        <v>1.9445E-3</v>
      </c>
      <c r="I12">
        <v>24.3432</v>
      </c>
      <c r="J12">
        <v>1.0626999999999999E-2</v>
      </c>
      <c r="K12">
        <v>3.6664000000000002E-2</v>
      </c>
      <c r="L12">
        <v>0.92666999999999999</v>
      </c>
      <c r="M12">
        <v>1104.6400000000001</v>
      </c>
      <c r="N12">
        <v>1.8046599999999999</v>
      </c>
      <c r="O12">
        <v>0.99887000000000004</v>
      </c>
      <c r="P12" s="71">
        <v>4.7543000000000002E-5</v>
      </c>
      <c r="Q12">
        <v>13.9178</v>
      </c>
      <c r="R12">
        <v>13.9178</v>
      </c>
      <c r="S12">
        <v>92.544200000000004</v>
      </c>
      <c r="T12">
        <v>22.888200000000001</v>
      </c>
    </row>
    <row r="13" spans="1:24" x14ac:dyDescent="0.3">
      <c r="A13">
        <v>10</v>
      </c>
      <c r="B13">
        <v>40.526299999999999</v>
      </c>
      <c r="C13">
        <v>271.98099999999999</v>
      </c>
      <c r="D13">
        <v>33.659300000000002</v>
      </c>
      <c r="E13">
        <v>822.98599999999999</v>
      </c>
      <c r="F13">
        <v>23.938099999999999</v>
      </c>
      <c r="G13">
        <v>1.0633900000000001</v>
      </c>
      <c r="H13">
        <v>1.9940000000000001E-3</v>
      </c>
      <c r="I13">
        <v>41.029600000000002</v>
      </c>
      <c r="J13">
        <v>1.1142000000000001E-2</v>
      </c>
      <c r="K13">
        <v>2.1753000000000002E-2</v>
      </c>
      <c r="L13">
        <v>0.88197000000000003</v>
      </c>
      <c r="M13">
        <v>1105.3900000000001</v>
      </c>
      <c r="N13">
        <v>1.8046599999999999</v>
      </c>
      <c r="O13">
        <v>0.99819000000000002</v>
      </c>
      <c r="P13" s="71">
        <v>4.7286000000000001E-5</v>
      </c>
      <c r="Q13">
        <v>11.471399999999999</v>
      </c>
      <c r="R13">
        <v>11.471399999999999</v>
      </c>
      <c r="S13">
        <v>85.138900000000007</v>
      </c>
      <c r="T13">
        <v>23.350100000000001</v>
      </c>
    </row>
    <row r="14" spans="1:24" x14ac:dyDescent="0.3">
      <c r="A14">
        <v>10</v>
      </c>
      <c r="B14">
        <v>55.789499999999997</v>
      </c>
      <c r="C14">
        <v>271.98099999999999</v>
      </c>
      <c r="D14">
        <v>47.250999999999998</v>
      </c>
      <c r="E14">
        <v>809.44899999999996</v>
      </c>
      <c r="F14">
        <v>16.5624</v>
      </c>
      <c r="G14">
        <v>1.09616</v>
      </c>
      <c r="H14">
        <v>1.9805000000000001E-3</v>
      </c>
      <c r="I14">
        <v>59.452300000000001</v>
      </c>
      <c r="J14">
        <v>1.1815000000000001E-2</v>
      </c>
      <c r="K14">
        <v>1.5011999999999999E-2</v>
      </c>
      <c r="L14">
        <v>0.83791000000000004</v>
      </c>
      <c r="M14">
        <v>1106.1500000000001</v>
      </c>
      <c r="N14">
        <v>1.8046599999999999</v>
      </c>
      <c r="O14">
        <v>0.99750000000000005</v>
      </c>
      <c r="P14" s="71">
        <v>4.7029E-5</v>
      </c>
      <c r="Q14">
        <v>9.1880400000000009</v>
      </c>
      <c r="R14">
        <v>9.1880400000000009</v>
      </c>
      <c r="S14">
        <v>77.452600000000004</v>
      </c>
      <c r="T14">
        <v>23.822900000000001</v>
      </c>
    </row>
    <row r="15" spans="1:24" x14ac:dyDescent="0.3">
      <c r="A15">
        <v>10</v>
      </c>
      <c r="B15">
        <v>71.052599999999998</v>
      </c>
      <c r="C15">
        <v>271.98099999999999</v>
      </c>
      <c r="D15">
        <v>60.638399999999997</v>
      </c>
      <c r="E15">
        <v>795.95</v>
      </c>
      <c r="F15">
        <v>12.431900000000001</v>
      </c>
      <c r="G15">
        <v>1.1297699999999999</v>
      </c>
      <c r="H15">
        <v>1.9910000000000001E-3</v>
      </c>
      <c r="I15">
        <v>79.712100000000007</v>
      </c>
      <c r="J15">
        <v>1.2678999999999999E-2</v>
      </c>
      <c r="K15">
        <v>1.1197E-2</v>
      </c>
      <c r="L15">
        <v>0.79591999999999996</v>
      </c>
      <c r="M15">
        <v>1106.9100000000001</v>
      </c>
      <c r="N15">
        <v>1.8046599999999999</v>
      </c>
      <c r="O15">
        <v>0.99682000000000004</v>
      </c>
      <c r="P15" s="71">
        <v>4.6771999999999999E-5</v>
      </c>
      <c r="Q15">
        <v>7.1229399999999998</v>
      </c>
      <c r="R15">
        <v>7.1229399999999998</v>
      </c>
      <c r="S15">
        <v>69.577200000000005</v>
      </c>
      <c r="T15">
        <v>24.292100000000001</v>
      </c>
    </row>
    <row r="16" spans="1:24" x14ac:dyDescent="0.3">
      <c r="A16">
        <v>10</v>
      </c>
      <c r="B16">
        <v>86.315799999999996</v>
      </c>
      <c r="C16">
        <v>271.98099999999999</v>
      </c>
      <c r="D16">
        <v>74.455799999999996</v>
      </c>
      <c r="E16">
        <v>782.05399999999997</v>
      </c>
      <c r="F16">
        <v>9.7502399999999998</v>
      </c>
      <c r="G16">
        <v>1.16561</v>
      </c>
      <c r="H16">
        <v>2.1410000000000001E-3</v>
      </c>
      <c r="I16">
        <v>101.661</v>
      </c>
      <c r="J16">
        <v>1.3764E-2</v>
      </c>
      <c r="K16">
        <v>8.7793999999999997E-3</v>
      </c>
      <c r="L16">
        <v>0.75814000000000004</v>
      </c>
      <c r="M16">
        <v>1107.67</v>
      </c>
      <c r="N16">
        <v>1.8046599999999999</v>
      </c>
      <c r="O16">
        <v>0.99612999999999996</v>
      </c>
      <c r="P16" s="71">
        <v>4.6516E-5</v>
      </c>
      <c r="Q16">
        <v>5.3122600000000002</v>
      </c>
      <c r="R16">
        <v>5.3122600000000002</v>
      </c>
      <c r="S16">
        <v>61.7059</v>
      </c>
      <c r="T16">
        <v>24.7685</v>
      </c>
    </row>
    <row r="17" spans="1:20" x14ac:dyDescent="0.3">
      <c r="A17">
        <v>10</v>
      </c>
      <c r="B17">
        <v>101.57899999999999</v>
      </c>
      <c r="C17">
        <v>271.98099999999999</v>
      </c>
      <c r="D17">
        <v>90.204599999999999</v>
      </c>
      <c r="E17">
        <v>766.43600000000004</v>
      </c>
      <c r="F17">
        <v>7.7420400000000003</v>
      </c>
      <c r="G17">
        <v>1.2077</v>
      </c>
      <c r="H17">
        <v>1.8093E-3</v>
      </c>
      <c r="I17">
        <v>124.738</v>
      </c>
      <c r="J17">
        <v>1.5086E-2</v>
      </c>
      <c r="K17">
        <v>7.1551999999999996E-3</v>
      </c>
      <c r="L17">
        <v>0.72714000000000001</v>
      </c>
      <c r="M17">
        <v>1108.43</v>
      </c>
      <c r="N17">
        <v>1.8046599999999999</v>
      </c>
      <c r="O17">
        <v>0.99544999999999995</v>
      </c>
      <c r="P17" s="71">
        <v>4.6258999999999999E-5</v>
      </c>
      <c r="Q17">
        <v>3.78342</v>
      </c>
      <c r="R17">
        <v>3.78342</v>
      </c>
      <c r="S17">
        <v>54.142000000000003</v>
      </c>
      <c r="T17">
        <v>25.289300000000001</v>
      </c>
    </row>
    <row r="18" spans="1:20" x14ac:dyDescent="0.3">
      <c r="A18">
        <v>10</v>
      </c>
      <c r="B18">
        <v>116.842</v>
      </c>
      <c r="C18">
        <v>271.98099999999999</v>
      </c>
      <c r="D18">
        <v>101.014</v>
      </c>
      <c r="E18">
        <v>755.91800000000001</v>
      </c>
      <c r="F18">
        <v>6.7514000000000003</v>
      </c>
      <c r="G18">
        <v>1.2372700000000001</v>
      </c>
      <c r="H18">
        <v>1.6685000000000001E-3</v>
      </c>
      <c r="I18">
        <v>147.99</v>
      </c>
      <c r="J18">
        <v>1.6625999999999998E-2</v>
      </c>
      <c r="K18">
        <v>6.0309999999999999E-3</v>
      </c>
      <c r="L18">
        <v>0.70498000000000005</v>
      </c>
      <c r="M18">
        <v>1109.19</v>
      </c>
      <c r="N18">
        <v>1.8046599999999999</v>
      </c>
      <c r="O18">
        <v>0.99477000000000004</v>
      </c>
      <c r="P18" s="71">
        <v>4.6001999999999998E-5</v>
      </c>
      <c r="Q18">
        <v>2.67049</v>
      </c>
      <c r="R18">
        <v>2.67049</v>
      </c>
      <c r="S18">
        <v>47.225499999999997</v>
      </c>
      <c r="T18">
        <v>25.645900000000001</v>
      </c>
    </row>
    <row r="19" spans="1:20" x14ac:dyDescent="0.3">
      <c r="A19">
        <v>10</v>
      </c>
      <c r="B19">
        <v>132.10499999999999</v>
      </c>
      <c r="C19">
        <v>271.98099999999999</v>
      </c>
      <c r="D19">
        <v>113.139</v>
      </c>
      <c r="E19">
        <v>744.35500000000002</v>
      </c>
      <c r="F19">
        <v>5.8847399999999999</v>
      </c>
      <c r="G19">
        <v>1.2710300000000001</v>
      </c>
      <c r="H19">
        <v>1.8701E-3</v>
      </c>
      <c r="I19">
        <v>170.38200000000001</v>
      </c>
      <c r="J19">
        <v>1.8331E-2</v>
      </c>
      <c r="K19">
        <v>5.2383999999999998E-3</v>
      </c>
      <c r="L19">
        <v>0.69232000000000005</v>
      </c>
      <c r="M19">
        <v>1109.96</v>
      </c>
      <c r="N19">
        <v>1.8046599999999999</v>
      </c>
      <c r="O19">
        <v>0.99407999999999996</v>
      </c>
      <c r="P19" s="71">
        <v>4.5745000000000003E-5</v>
      </c>
      <c r="Q19">
        <v>1.83266</v>
      </c>
      <c r="R19">
        <v>1.83266</v>
      </c>
      <c r="S19">
        <v>41.200200000000002</v>
      </c>
      <c r="T19">
        <v>26.025400000000001</v>
      </c>
    </row>
    <row r="20" spans="1:20" x14ac:dyDescent="0.3">
      <c r="A20">
        <v>10</v>
      </c>
      <c r="B20">
        <v>147.36799999999999</v>
      </c>
      <c r="C20">
        <v>271.98099999999999</v>
      </c>
      <c r="D20">
        <v>126.905</v>
      </c>
      <c r="E20">
        <v>731.56</v>
      </c>
      <c r="F20">
        <v>5.1204999999999998</v>
      </c>
      <c r="G20">
        <v>1.31006</v>
      </c>
      <c r="H20">
        <v>2.0986999999999998E-3</v>
      </c>
      <c r="I20">
        <v>191.15899999999999</v>
      </c>
      <c r="J20">
        <v>2.0132000000000001E-2</v>
      </c>
      <c r="K20">
        <v>4.6690000000000004E-3</v>
      </c>
      <c r="L20">
        <v>0.68837000000000004</v>
      </c>
      <c r="M20">
        <v>1110.72</v>
      </c>
      <c r="N20">
        <v>1.8046599999999999</v>
      </c>
      <c r="O20">
        <v>0.99339999999999995</v>
      </c>
      <c r="P20" s="71">
        <v>4.5488000000000002E-5</v>
      </c>
      <c r="Q20">
        <v>1.2312099999999999</v>
      </c>
      <c r="R20">
        <v>1.2312099999999999</v>
      </c>
      <c r="S20">
        <v>36.137599999999999</v>
      </c>
      <c r="T20">
        <v>26.428599999999999</v>
      </c>
    </row>
    <row r="21" spans="1:20" x14ac:dyDescent="0.3">
      <c r="A21">
        <v>10</v>
      </c>
      <c r="B21">
        <v>162.63200000000001</v>
      </c>
      <c r="C21">
        <v>271.98099999999999</v>
      </c>
      <c r="D21">
        <v>142.66800000000001</v>
      </c>
      <c r="E21">
        <v>717.37</v>
      </c>
      <c r="F21">
        <v>4.44482</v>
      </c>
      <c r="G21">
        <v>1.3555900000000001</v>
      </c>
      <c r="H21">
        <v>2.3774E-3</v>
      </c>
      <c r="I21">
        <v>209.965</v>
      </c>
      <c r="J21">
        <v>2.1968999999999999E-2</v>
      </c>
      <c r="K21">
        <v>4.2507999999999999E-3</v>
      </c>
      <c r="L21">
        <v>0.69162999999999997</v>
      </c>
      <c r="M21">
        <v>1111.48</v>
      </c>
      <c r="N21">
        <v>1.8046599999999999</v>
      </c>
      <c r="O21">
        <v>0.99272000000000005</v>
      </c>
      <c r="P21" s="71">
        <v>4.5231000000000001E-5</v>
      </c>
      <c r="Q21">
        <v>0.8135</v>
      </c>
      <c r="R21">
        <v>0.8135</v>
      </c>
      <c r="S21">
        <v>31.970700000000001</v>
      </c>
      <c r="T21">
        <v>26.852499999999999</v>
      </c>
    </row>
    <row r="22" spans="1:20" x14ac:dyDescent="0.3">
      <c r="A22">
        <v>10</v>
      </c>
      <c r="B22">
        <v>177.89500000000001</v>
      </c>
      <c r="C22">
        <v>271.98099999999999</v>
      </c>
      <c r="D22">
        <v>160.899</v>
      </c>
      <c r="E22">
        <v>701.596</v>
      </c>
      <c r="F22">
        <v>3.8460299999999998</v>
      </c>
      <c r="G22">
        <v>1.40926</v>
      </c>
      <c r="H22">
        <v>2.7109E-3</v>
      </c>
      <c r="I22">
        <v>226.74799999999999</v>
      </c>
      <c r="J22">
        <v>2.3792000000000001E-2</v>
      </c>
      <c r="K22">
        <v>3.9361999999999999E-3</v>
      </c>
      <c r="L22">
        <v>0.70054000000000005</v>
      </c>
      <c r="M22">
        <v>1112.25</v>
      </c>
      <c r="N22">
        <v>1.8046599999999999</v>
      </c>
      <c r="O22">
        <v>0.99202999999999997</v>
      </c>
      <c r="P22" s="71">
        <v>4.4974E-5</v>
      </c>
      <c r="Q22">
        <v>0.51048000000000004</v>
      </c>
      <c r="R22">
        <v>0.51048000000000004</v>
      </c>
      <c r="S22">
        <v>28.5685</v>
      </c>
      <c r="T22">
        <v>27.431100000000001</v>
      </c>
    </row>
    <row r="23" spans="1:20" x14ac:dyDescent="0.3">
      <c r="A23">
        <v>10</v>
      </c>
      <c r="B23">
        <v>193.15799999999999</v>
      </c>
      <c r="C23">
        <v>271.98099999999999</v>
      </c>
      <c r="D23">
        <v>182.22399999999999</v>
      </c>
      <c r="E23">
        <v>684.01499999999999</v>
      </c>
      <c r="F23">
        <v>3.3142800000000001</v>
      </c>
      <c r="G23">
        <v>1.4733099999999999</v>
      </c>
      <c r="H23">
        <v>3.1140999999999999E-3</v>
      </c>
      <c r="I23">
        <v>241.63399999999999</v>
      </c>
      <c r="J23">
        <v>2.5569000000000001E-2</v>
      </c>
      <c r="K23">
        <v>3.6936999999999998E-3</v>
      </c>
      <c r="L23">
        <v>0.71379000000000004</v>
      </c>
      <c r="M23">
        <v>1113.02</v>
      </c>
      <c r="N23">
        <v>1.8046599999999999</v>
      </c>
      <c r="O23">
        <v>0.99134999999999995</v>
      </c>
      <c r="P23" s="71">
        <v>4.4718000000000001E-5</v>
      </c>
      <c r="Q23">
        <v>0.30730000000000002</v>
      </c>
      <c r="R23">
        <v>0.30730000000000002</v>
      </c>
      <c r="S23">
        <v>25.789400000000001</v>
      </c>
      <c r="T23">
        <v>28.073499999999999</v>
      </c>
    </row>
    <row r="24" spans="1:20" x14ac:dyDescent="0.3">
      <c r="A24">
        <v>10</v>
      </c>
      <c r="B24">
        <v>208.42099999999999</v>
      </c>
      <c r="C24">
        <v>271.98099999999999</v>
      </c>
      <c r="D24">
        <v>207.505</v>
      </c>
      <c r="E24">
        <v>664.36800000000005</v>
      </c>
      <c r="F24">
        <v>2.8411900000000001</v>
      </c>
      <c r="G24">
        <v>1.5508500000000001</v>
      </c>
      <c r="H24">
        <v>3.6086E-3</v>
      </c>
      <c r="I24">
        <v>254.822</v>
      </c>
      <c r="J24">
        <v>2.7283000000000002E-2</v>
      </c>
      <c r="K24">
        <v>3.5025E-3</v>
      </c>
      <c r="L24">
        <v>0.73033000000000003</v>
      </c>
      <c r="M24">
        <v>1113.78</v>
      </c>
      <c r="N24">
        <v>1.8046599999999999</v>
      </c>
      <c r="O24">
        <v>0.99067000000000005</v>
      </c>
      <c r="P24" s="71">
        <v>4.4461E-5</v>
      </c>
      <c r="Q24">
        <v>0.20607</v>
      </c>
      <c r="R24">
        <v>0.20607</v>
      </c>
      <c r="S24">
        <v>23.506699999999999</v>
      </c>
      <c r="T24">
        <v>28.785</v>
      </c>
    </row>
    <row r="25" spans="1:20" x14ac:dyDescent="0.3">
      <c r="A25">
        <v>10</v>
      </c>
      <c r="B25">
        <v>223.684</v>
      </c>
      <c r="C25">
        <v>271.98099999999999</v>
      </c>
      <c r="D25">
        <v>237.95699999999999</v>
      </c>
      <c r="E25">
        <v>642.34900000000005</v>
      </c>
      <c r="F25">
        <v>2.4196200000000001</v>
      </c>
      <c r="G25">
        <v>1.6463300000000001</v>
      </c>
      <c r="H25">
        <v>4.2239000000000001E-3</v>
      </c>
      <c r="I25">
        <v>266.536</v>
      </c>
      <c r="J25">
        <v>2.8923000000000001E-2</v>
      </c>
      <c r="K25">
        <v>3.3486000000000002E-3</v>
      </c>
      <c r="L25">
        <v>0.74936000000000003</v>
      </c>
      <c r="M25">
        <v>1114.55</v>
      </c>
      <c r="N25">
        <v>1.8046599999999999</v>
      </c>
      <c r="O25">
        <v>0.98997999999999997</v>
      </c>
      <c r="P25" s="71">
        <v>4.4203999999999999E-5</v>
      </c>
      <c r="Q25">
        <v>0.20607</v>
      </c>
      <c r="R25">
        <v>0.20607</v>
      </c>
      <c r="S25">
        <v>21.615300000000001</v>
      </c>
      <c r="T25">
        <v>29.5747</v>
      </c>
    </row>
    <row r="26" spans="1:20" x14ac:dyDescent="0.3">
      <c r="A26">
        <v>10</v>
      </c>
      <c r="B26">
        <v>238.947</v>
      </c>
      <c r="C26">
        <v>271.98099999999999</v>
      </c>
      <c r="D26">
        <v>274.553</v>
      </c>
      <c r="E26">
        <v>618.09199999999998</v>
      </c>
      <c r="F26">
        <v>2.05023</v>
      </c>
      <c r="G26">
        <v>1.76379</v>
      </c>
      <c r="H26">
        <v>3.7842000000000002E-3</v>
      </c>
      <c r="I26">
        <v>276.98700000000002</v>
      </c>
      <c r="J26">
        <v>3.0487E-2</v>
      </c>
      <c r="K26">
        <v>3.2223E-3</v>
      </c>
      <c r="L26">
        <v>0.77029000000000003</v>
      </c>
      <c r="M26">
        <v>1115.32</v>
      </c>
      <c r="N26">
        <v>1.8046599999999999</v>
      </c>
      <c r="O26">
        <v>0.98929999999999996</v>
      </c>
      <c r="P26" s="71">
        <v>4.3946999999999998E-5</v>
      </c>
      <c r="Q26">
        <v>0.20607</v>
      </c>
      <c r="R26">
        <v>0.20607</v>
      </c>
      <c r="S26">
        <v>20.0322</v>
      </c>
      <c r="T26">
        <v>30.436</v>
      </c>
    </row>
    <row r="27" spans="1:20" x14ac:dyDescent="0.3">
      <c r="A27">
        <v>10</v>
      </c>
      <c r="B27">
        <v>254.21100000000001</v>
      </c>
      <c r="C27">
        <v>271.98099999999999</v>
      </c>
      <c r="D27">
        <v>307.714</v>
      </c>
      <c r="E27">
        <v>598.00699999999995</v>
      </c>
      <c r="F27">
        <v>1.7996799999999999</v>
      </c>
      <c r="G27">
        <v>1.87253</v>
      </c>
      <c r="H27">
        <v>4.0438999999999996E-3</v>
      </c>
      <c r="I27">
        <v>286.36399999999998</v>
      </c>
      <c r="J27">
        <v>3.1977999999999999E-2</v>
      </c>
      <c r="K27">
        <v>3.1167E-3</v>
      </c>
      <c r="L27">
        <v>0.79266000000000003</v>
      </c>
      <c r="M27">
        <v>1116.0899999999999</v>
      </c>
      <c r="N27">
        <v>1.8046599999999999</v>
      </c>
      <c r="O27">
        <v>0.98862000000000005</v>
      </c>
      <c r="P27" s="71">
        <v>4.3689999999999997E-5</v>
      </c>
      <c r="Q27">
        <v>0.20607</v>
      </c>
      <c r="R27">
        <v>0.20607</v>
      </c>
      <c r="S27">
        <v>18.693000000000001</v>
      </c>
      <c r="T27">
        <v>31.152200000000001</v>
      </c>
    </row>
    <row r="28" spans="1:20" x14ac:dyDescent="0.3">
      <c r="A28">
        <v>10</v>
      </c>
      <c r="B28">
        <v>269.47399999999999</v>
      </c>
      <c r="C28">
        <v>271.98099999999999</v>
      </c>
      <c r="D28">
        <v>344.59899999999999</v>
      </c>
      <c r="E28">
        <v>577.56399999999996</v>
      </c>
      <c r="F28">
        <v>1.58375</v>
      </c>
      <c r="G28">
        <v>1.9958199999999999</v>
      </c>
      <c r="H28">
        <v>4.2982999999999997E-3</v>
      </c>
      <c r="I28">
        <v>294.83199999999999</v>
      </c>
      <c r="J28">
        <v>3.3397999999999997E-2</v>
      </c>
      <c r="K28">
        <v>3.0271999999999999E-3</v>
      </c>
      <c r="L28">
        <v>0.81611999999999996</v>
      </c>
      <c r="M28">
        <v>1116.8699999999999</v>
      </c>
      <c r="N28">
        <v>1.8046599999999999</v>
      </c>
      <c r="O28">
        <v>0.98792999999999997</v>
      </c>
      <c r="P28" s="71">
        <v>4.3433000000000002E-5</v>
      </c>
      <c r="Q28">
        <v>0.20607</v>
      </c>
      <c r="R28">
        <v>0.20607</v>
      </c>
      <c r="S28">
        <v>17.547999999999998</v>
      </c>
      <c r="T28">
        <v>31.876100000000001</v>
      </c>
    </row>
    <row r="29" spans="1:20" x14ac:dyDescent="0.3">
      <c r="A29">
        <v>10</v>
      </c>
      <c r="B29">
        <v>284.73700000000002</v>
      </c>
      <c r="C29">
        <v>271.98099999999999</v>
      </c>
      <c r="D29">
        <v>351</v>
      </c>
      <c r="E29">
        <v>576.50400000000002</v>
      </c>
      <c r="F29">
        <v>1.5766199999999999</v>
      </c>
      <c r="G29">
        <v>2.0093999999999999</v>
      </c>
      <c r="H29">
        <v>3.1355E-4</v>
      </c>
      <c r="I29">
        <v>302.52499999999998</v>
      </c>
      <c r="J29">
        <v>3.4754E-2</v>
      </c>
      <c r="K29">
        <v>2.9502E-3</v>
      </c>
      <c r="L29">
        <v>0.84041999999999994</v>
      </c>
      <c r="M29">
        <v>1117.6400000000001</v>
      </c>
      <c r="N29">
        <v>1.8046599999999999</v>
      </c>
      <c r="O29">
        <v>0.98724999999999996</v>
      </c>
      <c r="P29" s="71">
        <v>4.3176000000000001E-5</v>
      </c>
      <c r="Q29">
        <v>0.20607</v>
      </c>
      <c r="R29">
        <v>0.20607</v>
      </c>
      <c r="S29">
        <v>16.5593</v>
      </c>
      <c r="T29">
        <v>31.919499999999999</v>
      </c>
    </row>
    <row r="30" spans="1:20" x14ac:dyDescent="0.3">
      <c r="A30">
        <v>10</v>
      </c>
      <c r="B30">
        <v>300</v>
      </c>
      <c r="C30">
        <v>271.98099999999999</v>
      </c>
      <c r="D30">
        <v>351</v>
      </c>
      <c r="E30">
        <v>579.01099999999997</v>
      </c>
      <c r="F30">
        <v>1.6082099999999999</v>
      </c>
      <c r="G30">
        <v>2.0007000000000001</v>
      </c>
      <c r="H30">
        <v>2.9760000000000002E-4</v>
      </c>
      <c r="I30">
        <v>309.55700000000002</v>
      </c>
      <c r="J30">
        <v>3.6049999999999999E-2</v>
      </c>
      <c r="K30">
        <v>2.8831999999999998E-3</v>
      </c>
      <c r="L30">
        <v>0.86534999999999995</v>
      </c>
      <c r="M30">
        <v>1118.4100000000001</v>
      </c>
      <c r="N30">
        <v>1.8046599999999999</v>
      </c>
      <c r="O30">
        <v>0.98656999999999995</v>
      </c>
      <c r="P30" s="71">
        <v>4.2920000000000002E-5</v>
      </c>
      <c r="Q30">
        <v>0.20607</v>
      </c>
      <c r="R30">
        <v>0.20607</v>
      </c>
      <c r="S30">
        <v>15.6975</v>
      </c>
      <c r="T30">
        <v>31.8414</v>
      </c>
    </row>
    <row r="31" spans="1:20" x14ac:dyDescent="0.3">
      <c r="A31">
        <v>30</v>
      </c>
      <c r="B31">
        <v>10</v>
      </c>
      <c r="C31">
        <v>291.19499999999999</v>
      </c>
      <c r="D31">
        <v>5.5401899999999999</v>
      </c>
      <c r="E31">
        <v>833.85799999999995</v>
      </c>
      <c r="F31">
        <v>9.4263600000000007</v>
      </c>
      <c r="G31">
        <v>1.01942</v>
      </c>
      <c r="H31">
        <v>1.7289E-3</v>
      </c>
      <c r="I31">
        <v>8.5373300000000008</v>
      </c>
      <c r="J31">
        <v>1.0972000000000001E-2</v>
      </c>
      <c r="K31">
        <v>0.10453999999999999</v>
      </c>
      <c r="L31">
        <v>0.97689999999999999</v>
      </c>
      <c r="M31">
        <v>1100.3</v>
      </c>
      <c r="N31">
        <v>1.1404700000000001</v>
      </c>
      <c r="O31">
        <v>1.00281</v>
      </c>
      <c r="P31" s="71">
        <v>5.5829999999999999E-5</v>
      </c>
      <c r="Q31">
        <v>15.4907</v>
      </c>
      <c r="R31">
        <v>15.4907</v>
      </c>
      <c r="S31">
        <v>98.768000000000001</v>
      </c>
      <c r="T31">
        <v>22.901499999999999</v>
      </c>
    </row>
    <row r="32" spans="1:20" x14ac:dyDescent="0.3">
      <c r="A32">
        <v>30</v>
      </c>
      <c r="B32">
        <v>25.263200000000001</v>
      </c>
      <c r="C32">
        <v>291.19499999999999</v>
      </c>
      <c r="D32">
        <v>18.323899999999998</v>
      </c>
      <c r="E32">
        <v>822.19899999999996</v>
      </c>
      <c r="F32">
        <v>5.82836</v>
      </c>
      <c r="G32">
        <v>1.04776</v>
      </c>
      <c r="H32">
        <v>1.8508000000000001E-3</v>
      </c>
      <c r="I32">
        <v>22.370699999999999</v>
      </c>
      <c r="J32">
        <v>1.129E-2</v>
      </c>
      <c r="K32">
        <v>3.9897000000000002E-2</v>
      </c>
      <c r="L32">
        <v>0.94184999999999997</v>
      </c>
      <c r="M32">
        <v>1100.8399999999999</v>
      </c>
      <c r="N32">
        <v>1.1404700000000001</v>
      </c>
      <c r="O32">
        <v>1.00231</v>
      </c>
      <c r="P32" s="71">
        <v>5.5572999999999998E-5</v>
      </c>
      <c r="Q32">
        <v>13.237</v>
      </c>
      <c r="R32">
        <v>13.237</v>
      </c>
      <c r="S32">
        <v>92.269800000000004</v>
      </c>
      <c r="T32">
        <v>23.3019</v>
      </c>
    </row>
    <row r="33" spans="1:20" x14ac:dyDescent="0.3">
      <c r="A33">
        <v>30</v>
      </c>
      <c r="B33">
        <v>40.526299999999999</v>
      </c>
      <c r="C33">
        <v>291.19499999999999</v>
      </c>
      <c r="D33">
        <v>31.247900000000001</v>
      </c>
      <c r="E33">
        <v>809.73099999999999</v>
      </c>
      <c r="F33">
        <v>4.1808500000000004</v>
      </c>
      <c r="G33">
        <v>1.0781400000000001</v>
      </c>
      <c r="H33">
        <v>1.884E-3</v>
      </c>
      <c r="I33">
        <v>37.247100000000003</v>
      </c>
      <c r="J33">
        <v>1.1721000000000001E-2</v>
      </c>
      <c r="K33">
        <v>2.3962000000000001E-2</v>
      </c>
      <c r="L33">
        <v>0.90744000000000002</v>
      </c>
      <c r="M33">
        <v>1101.3900000000001</v>
      </c>
      <c r="N33">
        <v>1.1404700000000001</v>
      </c>
      <c r="O33">
        <v>1.0018100000000001</v>
      </c>
      <c r="P33" s="71">
        <v>5.5315999999999997E-5</v>
      </c>
      <c r="Q33">
        <v>11.087999999999999</v>
      </c>
      <c r="R33">
        <v>11.087999999999999</v>
      </c>
      <c r="S33">
        <v>85.622500000000002</v>
      </c>
      <c r="T33">
        <v>23.732099999999999</v>
      </c>
    </row>
    <row r="34" spans="1:20" x14ac:dyDescent="0.3">
      <c r="A34">
        <v>30</v>
      </c>
      <c r="B34">
        <v>55.789499999999997</v>
      </c>
      <c r="C34">
        <v>291.19499999999999</v>
      </c>
      <c r="D34">
        <v>44.001100000000001</v>
      </c>
      <c r="E34">
        <v>797.13199999999995</v>
      </c>
      <c r="F34">
        <v>3.2675000000000001</v>
      </c>
      <c r="G34">
        <v>1.1094599999999999</v>
      </c>
      <c r="H34">
        <v>1.8645000000000001E-3</v>
      </c>
      <c r="I34">
        <v>53.218600000000002</v>
      </c>
      <c r="J34">
        <v>1.2267E-2</v>
      </c>
      <c r="K34">
        <v>1.6771000000000001E-2</v>
      </c>
      <c r="L34">
        <v>0.87429999999999997</v>
      </c>
      <c r="M34">
        <v>1101.94</v>
      </c>
      <c r="N34">
        <v>1.1404700000000001</v>
      </c>
      <c r="O34">
        <v>1.00132</v>
      </c>
      <c r="P34" s="71">
        <v>5.5059000000000003E-5</v>
      </c>
      <c r="Q34">
        <v>9.1042900000000007</v>
      </c>
      <c r="R34">
        <v>9.1042900000000007</v>
      </c>
      <c r="S34">
        <v>78.869900000000001</v>
      </c>
      <c r="T34">
        <v>24.1662</v>
      </c>
    </row>
    <row r="35" spans="1:20" x14ac:dyDescent="0.3">
      <c r="A35">
        <v>30</v>
      </c>
      <c r="B35">
        <v>71.052599999999998</v>
      </c>
      <c r="C35">
        <v>291.19499999999999</v>
      </c>
      <c r="D35">
        <v>56.524299999999997</v>
      </c>
      <c r="E35">
        <v>784.69</v>
      </c>
      <c r="F35">
        <v>2.6933099999999999</v>
      </c>
      <c r="G35">
        <v>1.1413</v>
      </c>
      <c r="H35">
        <v>1.8506E-3</v>
      </c>
      <c r="I35">
        <v>70.269400000000005</v>
      </c>
      <c r="J35">
        <v>1.294E-2</v>
      </c>
      <c r="K35">
        <v>1.2701E-2</v>
      </c>
      <c r="L35">
        <v>0.84331</v>
      </c>
      <c r="M35">
        <v>1102.49</v>
      </c>
      <c r="N35">
        <v>1.1404700000000001</v>
      </c>
      <c r="O35">
        <v>1.00082</v>
      </c>
      <c r="P35" s="71">
        <v>5.4802000000000001E-5</v>
      </c>
      <c r="Q35">
        <v>7.3190600000000003</v>
      </c>
      <c r="R35">
        <v>7.3190600000000003</v>
      </c>
      <c r="S35">
        <v>72.087800000000001</v>
      </c>
      <c r="T35">
        <v>24.592300000000002</v>
      </c>
    </row>
    <row r="36" spans="1:20" x14ac:dyDescent="0.3">
      <c r="A36">
        <v>30</v>
      </c>
      <c r="B36">
        <v>86.315799999999996</v>
      </c>
      <c r="C36">
        <v>291.19499999999999</v>
      </c>
      <c r="D36">
        <v>69.177199999999999</v>
      </c>
      <c r="E36">
        <v>772.19</v>
      </c>
      <c r="F36">
        <v>2.2907500000000001</v>
      </c>
      <c r="G36">
        <v>1.1744000000000001</v>
      </c>
      <c r="H36">
        <v>1.9207E-3</v>
      </c>
      <c r="I36">
        <v>88.269400000000005</v>
      </c>
      <c r="J36">
        <v>1.3749000000000001E-2</v>
      </c>
      <c r="K36">
        <v>1.0111E-2</v>
      </c>
      <c r="L36">
        <v>0.81555</v>
      </c>
      <c r="M36">
        <v>1103.04</v>
      </c>
      <c r="N36">
        <v>1.1404700000000001</v>
      </c>
      <c r="O36">
        <v>1.0003200000000001</v>
      </c>
      <c r="P36" s="71">
        <v>5.4545E-5</v>
      </c>
      <c r="Q36">
        <v>5.7459199999999999</v>
      </c>
      <c r="R36">
        <v>5.7459199999999999</v>
      </c>
      <c r="S36">
        <v>65.391800000000003</v>
      </c>
      <c r="T36">
        <v>25.015599999999999</v>
      </c>
    </row>
    <row r="37" spans="1:20" x14ac:dyDescent="0.3">
      <c r="A37">
        <v>30</v>
      </c>
      <c r="B37">
        <v>101.57899999999999</v>
      </c>
      <c r="C37">
        <v>291.19499999999999</v>
      </c>
      <c r="D37">
        <v>82.908100000000005</v>
      </c>
      <c r="E37">
        <v>758.81100000000004</v>
      </c>
      <c r="F37">
        <v>1.9745900000000001</v>
      </c>
      <c r="G37">
        <v>1.21126</v>
      </c>
      <c r="H37">
        <v>2.1773999999999999E-3</v>
      </c>
      <c r="I37">
        <v>106.937</v>
      </c>
      <c r="J37">
        <v>1.4701000000000001E-2</v>
      </c>
      <c r="K37">
        <v>8.3462999999999992E-3</v>
      </c>
      <c r="L37">
        <v>0.79222999999999999</v>
      </c>
      <c r="M37">
        <v>1103.5899999999999</v>
      </c>
      <c r="N37">
        <v>1.1404700000000001</v>
      </c>
      <c r="O37">
        <v>0.99982000000000004</v>
      </c>
      <c r="P37" s="71">
        <v>5.4287999999999999E-5</v>
      </c>
      <c r="Q37">
        <v>4.38666</v>
      </c>
      <c r="R37">
        <v>4.38666</v>
      </c>
      <c r="S37">
        <v>58.933100000000003</v>
      </c>
      <c r="T37">
        <v>25.459299999999999</v>
      </c>
    </row>
    <row r="38" spans="1:20" x14ac:dyDescent="0.3">
      <c r="A38">
        <v>30</v>
      </c>
      <c r="B38">
        <v>116.842</v>
      </c>
      <c r="C38">
        <v>291.19499999999999</v>
      </c>
      <c r="D38">
        <v>95.422799999999995</v>
      </c>
      <c r="E38">
        <v>746.85199999999998</v>
      </c>
      <c r="F38">
        <v>1.75668</v>
      </c>
      <c r="G38">
        <v>1.2456100000000001</v>
      </c>
      <c r="H38">
        <v>1.4655E-3</v>
      </c>
      <c r="I38">
        <v>125.846</v>
      </c>
      <c r="J38">
        <v>1.5789999999999998E-2</v>
      </c>
      <c r="K38">
        <v>7.0921999999999999E-3</v>
      </c>
      <c r="L38">
        <v>0.77434000000000003</v>
      </c>
      <c r="M38">
        <v>1104.1400000000001</v>
      </c>
      <c r="N38">
        <v>1.1404700000000001</v>
      </c>
      <c r="O38">
        <v>0.99931999999999999</v>
      </c>
      <c r="P38" s="71">
        <v>5.4032E-5</v>
      </c>
      <c r="Q38">
        <v>3.29528</v>
      </c>
      <c r="R38">
        <v>3.29528</v>
      </c>
      <c r="S38">
        <v>52.875399999999999</v>
      </c>
      <c r="T38">
        <v>25.850899999999999</v>
      </c>
    </row>
    <row r="39" spans="1:20" x14ac:dyDescent="0.3">
      <c r="A39">
        <v>30</v>
      </c>
      <c r="B39">
        <v>132.10499999999999</v>
      </c>
      <c r="C39">
        <v>291.19499999999999</v>
      </c>
      <c r="D39">
        <v>106.033</v>
      </c>
      <c r="E39">
        <v>736.92</v>
      </c>
      <c r="F39">
        <v>1.60812</v>
      </c>
      <c r="G39">
        <v>1.27525</v>
      </c>
      <c r="H39">
        <v>1.6241999999999999E-3</v>
      </c>
      <c r="I39">
        <v>144.50299999999999</v>
      </c>
      <c r="J39">
        <v>1.6997999999999999E-2</v>
      </c>
      <c r="K39">
        <v>6.1764999999999997E-3</v>
      </c>
      <c r="L39">
        <v>0.76244999999999996</v>
      </c>
      <c r="M39">
        <v>1104.69</v>
      </c>
      <c r="N39">
        <v>1.1404700000000001</v>
      </c>
      <c r="O39">
        <v>0.99882000000000004</v>
      </c>
      <c r="P39" s="71">
        <v>5.3774999999999999E-5</v>
      </c>
      <c r="Q39">
        <v>2.4537</v>
      </c>
      <c r="R39">
        <v>2.4537</v>
      </c>
      <c r="S39">
        <v>47.3568</v>
      </c>
      <c r="T39">
        <v>26.173999999999999</v>
      </c>
    </row>
    <row r="40" spans="1:20" x14ac:dyDescent="0.3">
      <c r="A40">
        <v>30</v>
      </c>
      <c r="B40">
        <v>147.36799999999999</v>
      </c>
      <c r="C40">
        <v>291.19499999999999</v>
      </c>
      <c r="D40">
        <v>117.929</v>
      </c>
      <c r="E40">
        <v>726.03099999999995</v>
      </c>
      <c r="F40">
        <v>1.4704299999999999</v>
      </c>
      <c r="G40">
        <v>1.3089999999999999</v>
      </c>
      <c r="H40">
        <v>1.8027E-3</v>
      </c>
      <c r="I40">
        <v>162.46100000000001</v>
      </c>
      <c r="J40">
        <v>1.8297999999999998E-2</v>
      </c>
      <c r="K40">
        <v>5.4938000000000001E-3</v>
      </c>
      <c r="L40">
        <v>0.75653000000000004</v>
      </c>
      <c r="M40">
        <v>1105.24</v>
      </c>
      <c r="N40">
        <v>1.1404700000000001</v>
      </c>
      <c r="O40">
        <v>0.99833000000000005</v>
      </c>
      <c r="P40" s="71">
        <v>5.3517999999999998E-5</v>
      </c>
      <c r="Q40">
        <v>1.7926200000000001</v>
      </c>
      <c r="R40">
        <v>1.7926200000000001</v>
      </c>
      <c r="S40">
        <v>42.456800000000001</v>
      </c>
      <c r="T40">
        <v>26.5166</v>
      </c>
    </row>
    <row r="41" spans="1:20" x14ac:dyDescent="0.3">
      <c r="A41">
        <v>30</v>
      </c>
      <c r="B41">
        <v>162.63200000000001</v>
      </c>
      <c r="C41">
        <v>291.19499999999999</v>
      </c>
      <c r="D41">
        <v>131.358</v>
      </c>
      <c r="E41">
        <v>714.06899999999996</v>
      </c>
      <c r="F41">
        <v>1.3424700000000001</v>
      </c>
      <c r="G41">
        <v>1.34772</v>
      </c>
      <c r="H41">
        <v>2.0162000000000001E-3</v>
      </c>
      <c r="I41">
        <v>179.39599999999999</v>
      </c>
      <c r="J41">
        <v>1.9658999999999999E-2</v>
      </c>
      <c r="K41">
        <v>4.9750999999999997E-3</v>
      </c>
      <c r="L41">
        <v>0.75607000000000002</v>
      </c>
      <c r="M41">
        <v>1105.79</v>
      </c>
      <c r="N41">
        <v>1.1404700000000001</v>
      </c>
      <c r="O41">
        <v>0.99782999999999999</v>
      </c>
      <c r="P41" s="71">
        <v>5.3260999999999997E-5</v>
      </c>
      <c r="Q41">
        <v>1.28826</v>
      </c>
      <c r="R41">
        <v>1.28826</v>
      </c>
      <c r="S41">
        <v>38.188899999999997</v>
      </c>
      <c r="T41">
        <v>26.877500000000001</v>
      </c>
    </row>
    <row r="42" spans="1:20" x14ac:dyDescent="0.3">
      <c r="A42">
        <v>30</v>
      </c>
      <c r="B42">
        <v>177.89500000000001</v>
      </c>
      <c r="C42">
        <v>291.19499999999999</v>
      </c>
      <c r="D42">
        <v>146.63999999999999</v>
      </c>
      <c r="E42">
        <v>700.89700000000005</v>
      </c>
      <c r="F42">
        <v>1.22323</v>
      </c>
      <c r="G42">
        <v>1.3925099999999999</v>
      </c>
      <c r="H42">
        <v>2.2672E-3</v>
      </c>
      <c r="I42">
        <v>195.137</v>
      </c>
      <c r="J42">
        <v>2.1052999999999999E-2</v>
      </c>
      <c r="K42">
        <v>4.5738000000000003E-3</v>
      </c>
      <c r="L42">
        <v>0.76032</v>
      </c>
      <c r="M42">
        <v>1106.3399999999999</v>
      </c>
      <c r="N42">
        <v>1.1404700000000001</v>
      </c>
      <c r="O42">
        <v>0.99733000000000005</v>
      </c>
      <c r="P42" s="71">
        <v>5.3004000000000003E-5</v>
      </c>
      <c r="Q42">
        <v>0.90703</v>
      </c>
      <c r="R42">
        <v>0.90703</v>
      </c>
      <c r="S42">
        <v>34.516500000000001</v>
      </c>
      <c r="T42">
        <v>27.279</v>
      </c>
    </row>
    <row r="43" spans="1:20" x14ac:dyDescent="0.3">
      <c r="A43">
        <v>30</v>
      </c>
      <c r="B43">
        <v>193.15799999999999</v>
      </c>
      <c r="C43">
        <v>291.19499999999999</v>
      </c>
      <c r="D43">
        <v>164.184</v>
      </c>
      <c r="E43">
        <v>686.36099999999999</v>
      </c>
      <c r="F43">
        <v>1.11182</v>
      </c>
      <c r="G43">
        <v>1.44482</v>
      </c>
      <c r="H43">
        <v>2.5652000000000001E-3</v>
      </c>
      <c r="I43">
        <v>209.62899999999999</v>
      </c>
      <c r="J43">
        <v>2.2457000000000001E-2</v>
      </c>
      <c r="K43">
        <v>4.2576000000000003E-3</v>
      </c>
      <c r="L43">
        <v>0.76848000000000005</v>
      </c>
      <c r="M43">
        <v>1106.9000000000001</v>
      </c>
      <c r="N43">
        <v>1.1404700000000001</v>
      </c>
      <c r="O43">
        <v>0.99682999999999999</v>
      </c>
      <c r="P43" s="71">
        <v>5.2747000000000002E-5</v>
      </c>
      <c r="Q43">
        <v>0.61143000000000003</v>
      </c>
      <c r="R43">
        <v>0.61143000000000003</v>
      </c>
      <c r="S43">
        <v>31.375299999999999</v>
      </c>
      <c r="T43">
        <v>27.803999999999998</v>
      </c>
    </row>
    <row r="44" spans="1:20" x14ac:dyDescent="0.3">
      <c r="A44">
        <v>30</v>
      </c>
      <c r="B44">
        <v>208.42099999999999</v>
      </c>
      <c r="C44">
        <v>291.19499999999999</v>
      </c>
      <c r="D44">
        <v>184.53399999999999</v>
      </c>
      <c r="E44">
        <v>670.27700000000004</v>
      </c>
      <c r="F44">
        <v>1.00745</v>
      </c>
      <c r="G44">
        <v>1.5065900000000001</v>
      </c>
      <c r="H44">
        <v>2.9210999999999998E-3</v>
      </c>
      <c r="I44">
        <v>222.898</v>
      </c>
      <c r="J44">
        <v>2.3852000000000002E-2</v>
      </c>
      <c r="K44">
        <v>4.0042000000000003E-3</v>
      </c>
      <c r="L44">
        <v>0.77983999999999998</v>
      </c>
      <c r="M44">
        <v>1107.45</v>
      </c>
      <c r="N44">
        <v>1.1404700000000001</v>
      </c>
      <c r="O44">
        <v>0.99633000000000005</v>
      </c>
      <c r="P44" s="71">
        <v>5.2490000000000001E-5</v>
      </c>
      <c r="Q44">
        <v>0.39807999999999999</v>
      </c>
      <c r="R44">
        <v>0.39807999999999999</v>
      </c>
      <c r="S44">
        <v>28.692699999999999</v>
      </c>
      <c r="T44">
        <v>28.380600000000001</v>
      </c>
    </row>
    <row r="45" spans="1:20" x14ac:dyDescent="0.3">
      <c r="A45">
        <v>30</v>
      </c>
      <c r="B45">
        <v>223.684</v>
      </c>
      <c r="C45">
        <v>291.19499999999999</v>
      </c>
      <c r="D45">
        <v>208.42</v>
      </c>
      <c r="E45">
        <v>652.43499999999995</v>
      </c>
      <c r="F45">
        <v>0.90942000000000001</v>
      </c>
      <c r="G45">
        <v>1.58047</v>
      </c>
      <c r="H45">
        <v>3.3528E-3</v>
      </c>
      <c r="I45">
        <v>235.01900000000001</v>
      </c>
      <c r="J45">
        <v>2.5225999999999998E-2</v>
      </c>
      <c r="K45">
        <v>3.7977000000000002E-3</v>
      </c>
      <c r="L45">
        <v>0.79379</v>
      </c>
      <c r="M45">
        <v>1108</v>
      </c>
      <c r="N45">
        <v>1.1404700000000001</v>
      </c>
      <c r="O45">
        <v>0.99583999999999995</v>
      </c>
      <c r="P45" s="71">
        <v>5.2232999999999999E-5</v>
      </c>
      <c r="Q45">
        <v>0.24743000000000001</v>
      </c>
      <c r="R45">
        <v>0.24743000000000001</v>
      </c>
      <c r="S45">
        <v>26.398</v>
      </c>
      <c r="T45">
        <v>29.0153</v>
      </c>
    </row>
    <row r="46" spans="1:20" x14ac:dyDescent="0.3">
      <c r="A46">
        <v>30</v>
      </c>
      <c r="B46">
        <v>238.947</v>
      </c>
      <c r="C46">
        <v>291.19499999999999</v>
      </c>
      <c r="D46">
        <v>236.85400000000001</v>
      </c>
      <c r="E46">
        <v>632.58699999999999</v>
      </c>
      <c r="F46">
        <v>0.81708000000000003</v>
      </c>
      <c r="G46">
        <v>1.67018</v>
      </c>
      <c r="H46">
        <v>3.8841000000000001E-3</v>
      </c>
      <c r="I46">
        <v>246.08699999999999</v>
      </c>
      <c r="J46">
        <v>2.6568999999999999E-2</v>
      </c>
      <c r="K46">
        <v>3.6269000000000002E-3</v>
      </c>
      <c r="L46">
        <v>0.80981000000000003</v>
      </c>
      <c r="M46">
        <v>1108.56</v>
      </c>
      <c r="N46">
        <v>1.1404700000000001</v>
      </c>
      <c r="O46">
        <v>0.99534</v>
      </c>
      <c r="P46" s="71">
        <v>5.1977000000000001E-5</v>
      </c>
      <c r="Q46">
        <v>0.20607</v>
      </c>
      <c r="R46">
        <v>0.20607</v>
      </c>
      <c r="S46">
        <v>24.427900000000001</v>
      </c>
      <c r="T46">
        <v>29.715299999999999</v>
      </c>
    </row>
    <row r="47" spans="1:20" x14ac:dyDescent="0.3">
      <c r="A47">
        <v>30</v>
      </c>
      <c r="B47">
        <v>254.21100000000001</v>
      </c>
      <c r="C47">
        <v>291.19499999999999</v>
      </c>
      <c r="D47">
        <v>271.46100000000001</v>
      </c>
      <c r="E47">
        <v>610.322</v>
      </c>
      <c r="F47">
        <v>0.72943999999999998</v>
      </c>
      <c r="G47">
        <v>1.78172</v>
      </c>
      <c r="H47">
        <v>5.5623000000000001E-3</v>
      </c>
      <c r="I47">
        <v>256.20400000000001</v>
      </c>
      <c r="J47">
        <v>2.7876999999999999E-2</v>
      </c>
      <c r="K47">
        <v>3.4835999999999999E-3</v>
      </c>
      <c r="L47">
        <v>0.82752000000000003</v>
      </c>
      <c r="M47">
        <v>1109.1099999999999</v>
      </c>
      <c r="N47">
        <v>1.1404700000000001</v>
      </c>
      <c r="O47">
        <v>0.99483999999999995</v>
      </c>
      <c r="P47" s="71">
        <v>5.1719999999999999E-5</v>
      </c>
      <c r="Q47">
        <v>0.20607</v>
      </c>
      <c r="R47">
        <v>0.20607</v>
      </c>
      <c r="S47">
        <v>22.728000000000002</v>
      </c>
      <c r="T47">
        <v>30.492799999999999</v>
      </c>
    </row>
    <row r="48" spans="1:20" x14ac:dyDescent="0.3">
      <c r="A48">
        <v>30</v>
      </c>
      <c r="B48">
        <v>269.47399999999999</v>
      </c>
      <c r="C48">
        <v>291.19499999999999</v>
      </c>
      <c r="D48">
        <v>301.99799999999999</v>
      </c>
      <c r="E48">
        <v>592.255</v>
      </c>
      <c r="F48">
        <v>0.66791999999999996</v>
      </c>
      <c r="G48">
        <v>1.8821000000000001</v>
      </c>
      <c r="H48">
        <v>3.6985E-3</v>
      </c>
      <c r="I48">
        <v>265.47300000000001</v>
      </c>
      <c r="J48">
        <v>2.9145999999999998E-2</v>
      </c>
      <c r="K48">
        <v>3.362E-3</v>
      </c>
      <c r="L48">
        <v>0.84658</v>
      </c>
      <c r="M48">
        <v>1109.67</v>
      </c>
      <c r="N48">
        <v>1.1404700000000001</v>
      </c>
      <c r="O48">
        <v>0.99434</v>
      </c>
      <c r="P48" s="71">
        <v>5.1462999999999998E-5</v>
      </c>
      <c r="Q48">
        <v>0.20607</v>
      </c>
      <c r="R48">
        <v>0.20607</v>
      </c>
      <c r="S48">
        <v>21.2529</v>
      </c>
      <c r="T48">
        <v>31.125599999999999</v>
      </c>
    </row>
    <row r="49" spans="1:20" x14ac:dyDescent="0.3">
      <c r="A49">
        <v>30</v>
      </c>
      <c r="B49">
        <v>284.73700000000002</v>
      </c>
      <c r="C49">
        <v>291.19499999999999</v>
      </c>
      <c r="D49">
        <v>335.733</v>
      </c>
      <c r="E49">
        <v>573.851</v>
      </c>
      <c r="F49">
        <v>0.61229</v>
      </c>
      <c r="G49">
        <v>1.9949399999999999</v>
      </c>
      <c r="H49">
        <v>3.9192999999999997E-3</v>
      </c>
      <c r="I49">
        <v>273.988</v>
      </c>
      <c r="J49">
        <v>3.0374999999999999E-2</v>
      </c>
      <c r="K49">
        <v>3.2575E-3</v>
      </c>
      <c r="L49">
        <v>0.86673</v>
      </c>
      <c r="M49">
        <v>1110.23</v>
      </c>
      <c r="N49">
        <v>1.1404700000000001</v>
      </c>
      <c r="O49">
        <v>0.99383999999999995</v>
      </c>
      <c r="P49" s="71">
        <v>5.1205999999999997E-5</v>
      </c>
      <c r="Q49">
        <v>0.20607</v>
      </c>
      <c r="R49">
        <v>0.20607</v>
      </c>
      <c r="S49">
        <v>19.9651</v>
      </c>
      <c r="T49">
        <v>31.765899999999998</v>
      </c>
    </row>
    <row r="50" spans="1:20" x14ac:dyDescent="0.3">
      <c r="A50">
        <v>30</v>
      </c>
      <c r="B50">
        <v>300</v>
      </c>
      <c r="C50">
        <v>291.19499999999999</v>
      </c>
      <c r="D50">
        <v>351</v>
      </c>
      <c r="E50">
        <v>567.60299999999995</v>
      </c>
      <c r="F50">
        <v>0.59692999999999996</v>
      </c>
      <c r="G50">
        <v>2.0409099999999998</v>
      </c>
      <c r="H50">
        <v>3.1824000000000002E-4</v>
      </c>
      <c r="I50">
        <v>281.83600000000001</v>
      </c>
      <c r="J50">
        <v>3.1564000000000002E-2</v>
      </c>
      <c r="K50">
        <v>3.1668E-3</v>
      </c>
      <c r="L50">
        <v>0.88775999999999999</v>
      </c>
      <c r="M50">
        <v>1110.78</v>
      </c>
      <c r="N50">
        <v>1.1404700000000001</v>
      </c>
      <c r="O50">
        <v>0.99334</v>
      </c>
      <c r="P50" s="71">
        <v>5.0949000000000003E-5</v>
      </c>
      <c r="Q50">
        <v>0.20607</v>
      </c>
      <c r="R50">
        <v>0.20607</v>
      </c>
      <c r="S50">
        <v>18.8337</v>
      </c>
      <c r="T50">
        <v>31.9787</v>
      </c>
    </row>
    <row r="51" spans="1:20" x14ac:dyDescent="0.3">
      <c r="A51">
        <v>50</v>
      </c>
      <c r="B51">
        <v>10</v>
      </c>
      <c r="C51">
        <v>310.40899999999999</v>
      </c>
      <c r="D51">
        <v>5.0304399999999996</v>
      </c>
      <c r="E51">
        <v>819.173</v>
      </c>
      <c r="F51">
        <v>3.79284</v>
      </c>
      <c r="G51">
        <v>1.03714</v>
      </c>
      <c r="H51">
        <v>1.6681000000000001E-3</v>
      </c>
      <c r="I51">
        <v>7.9732799999999999</v>
      </c>
      <c r="J51">
        <v>1.1684E-2</v>
      </c>
      <c r="K51">
        <v>0.11194</v>
      </c>
      <c r="L51">
        <v>0.98126999999999998</v>
      </c>
      <c r="M51">
        <v>1091.96</v>
      </c>
      <c r="N51">
        <v>0.78117999999999999</v>
      </c>
      <c r="O51">
        <v>1.01047</v>
      </c>
      <c r="P51" s="71">
        <v>5.6879999999999998E-5</v>
      </c>
      <c r="Q51">
        <v>14.556900000000001</v>
      </c>
      <c r="R51">
        <v>14.556900000000001</v>
      </c>
      <c r="S51">
        <v>96.293499999999995</v>
      </c>
      <c r="T51">
        <v>23.089099999999998</v>
      </c>
    </row>
    <row r="52" spans="1:20" x14ac:dyDescent="0.3">
      <c r="A52">
        <v>50</v>
      </c>
      <c r="B52">
        <v>25.263200000000001</v>
      </c>
      <c r="C52">
        <v>310.40899999999999</v>
      </c>
      <c r="D52">
        <v>17.001200000000001</v>
      </c>
      <c r="E52">
        <v>808.01300000000003</v>
      </c>
      <c r="F52">
        <v>2.62486</v>
      </c>
      <c r="G52">
        <v>1.0646899999999999</v>
      </c>
      <c r="H52">
        <v>1.7584E-3</v>
      </c>
      <c r="I52">
        <v>20.734999999999999</v>
      </c>
      <c r="J52">
        <v>1.196E-2</v>
      </c>
      <c r="K52">
        <v>4.3043999999999999E-2</v>
      </c>
      <c r="L52">
        <v>0.95325000000000004</v>
      </c>
      <c r="M52">
        <v>1092.46</v>
      </c>
      <c r="N52">
        <v>0.78117999999999999</v>
      </c>
      <c r="O52">
        <v>1.0100100000000001</v>
      </c>
      <c r="P52" s="71">
        <v>5.6623000000000003E-5</v>
      </c>
      <c r="Q52">
        <v>12.537800000000001</v>
      </c>
      <c r="R52">
        <v>12.537800000000001</v>
      </c>
      <c r="S52">
        <v>90.395799999999994</v>
      </c>
      <c r="T52">
        <v>23.475999999999999</v>
      </c>
    </row>
    <row r="53" spans="1:20" x14ac:dyDescent="0.3">
      <c r="A53">
        <v>50</v>
      </c>
      <c r="B53">
        <v>40.526299999999999</v>
      </c>
      <c r="C53">
        <v>310.40899999999999</v>
      </c>
      <c r="D53">
        <v>29.1295</v>
      </c>
      <c r="E53">
        <v>796.32</v>
      </c>
      <c r="F53">
        <v>2.0264700000000002</v>
      </c>
      <c r="G53">
        <v>1.09392</v>
      </c>
      <c r="H53">
        <v>1.7822000000000001E-3</v>
      </c>
      <c r="I53">
        <v>34.231999999999999</v>
      </c>
      <c r="J53">
        <v>1.2331E-2</v>
      </c>
      <c r="K53">
        <v>2.6072999999999999E-2</v>
      </c>
      <c r="L53">
        <v>0.92625000000000002</v>
      </c>
      <c r="M53">
        <v>1092.95</v>
      </c>
      <c r="N53">
        <v>0.78117999999999999</v>
      </c>
      <c r="O53">
        <v>1.0095499999999999</v>
      </c>
      <c r="P53" s="71">
        <v>5.6366000000000002E-5</v>
      </c>
      <c r="Q53">
        <v>10.6355</v>
      </c>
      <c r="R53">
        <v>10.6355</v>
      </c>
      <c r="S53">
        <v>84.440700000000007</v>
      </c>
      <c r="T53">
        <v>23.8813</v>
      </c>
    </row>
    <row r="54" spans="1:20" x14ac:dyDescent="0.3">
      <c r="A54">
        <v>50</v>
      </c>
      <c r="B54">
        <v>55.789499999999997</v>
      </c>
      <c r="C54">
        <v>310.40899999999999</v>
      </c>
      <c r="D54">
        <v>41.139200000000002</v>
      </c>
      <c r="E54">
        <v>784.59</v>
      </c>
      <c r="F54">
        <v>1.66812</v>
      </c>
      <c r="G54">
        <v>1.1239399999999999</v>
      </c>
      <c r="H54">
        <v>1.7611E-3</v>
      </c>
      <c r="I54">
        <v>48.459800000000001</v>
      </c>
      <c r="J54">
        <v>1.2791E-2</v>
      </c>
      <c r="K54">
        <v>1.8418E-2</v>
      </c>
      <c r="L54">
        <v>0.90073000000000003</v>
      </c>
      <c r="M54">
        <v>1093.45</v>
      </c>
      <c r="N54">
        <v>0.78117999999999999</v>
      </c>
      <c r="O54">
        <v>1.00909</v>
      </c>
      <c r="P54" s="71">
        <v>5.6109000000000001E-5</v>
      </c>
      <c r="Q54">
        <v>8.8895499999999998</v>
      </c>
      <c r="R54">
        <v>8.8895499999999998</v>
      </c>
      <c r="S54">
        <v>78.47</v>
      </c>
      <c r="T54">
        <v>24.2865</v>
      </c>
    </row>
    <row r="55" spans="1:20" x14ac:dyDescent="0.3">
      <c r="A55">
        <v>50</v>
      </c>
      <c r="B55">
        <v>71.052599999999998</v>
      </c>
      <c r="C55">
        <v>310.40899999999999</v>
      </c>
      <c r="D55">
        <v>52.927799999999998</v>
      </c>
      <c r="E55">
        <v>773.072</v>
      </c>
      <c r="F55">
        <v>1.43049</v>
      </c>
      <c r="G55">
        <v>1.1543000000000001</v>
      </c>
      <c r="H55">
        <v>1.7348000000000001E-3</v>
      </c>
      <c r="I55">
        <v>63.370199999999997</v>
      </c>
      <c r="J55">
        <v>1.3344999999999999E-2</v>
      </c>
      <c r="K55">
        <v>1.4083999999999999E-2</v>
      </c>
      <c r="L55">
        <v>0.87724000000000002</v>
      </c>
      <c r="M55">
        <v>1093.95</v>
      </c>
      <c r="N55">
        <v>0.78117999999999999</v>
      </c>
      <c r="O55">
        <v>1.0086299999999999</v>
      </c>
      <c r="P55" s="71">
        <v>5.5852E-5</v>
      </c>
      <c r="Q55">
        <v>7.3204700000000003</v>
      </c>
      <c r="R55">
        <v>7.3204700000000003</v>
      </c>
      <c r="S55">
        <v>72.542500000000004</v>
      </c>
      <c r="T55">
        <v>24.681799999999999</v>
      </c>
    </row>
    <row r="56" spans="1:20" x14ac:dyDescent="0.3">
      <c r="A56">
        <v>50</v>
      </c>
      <c r="B56">
        <v>86.315799999999996</v>
      </c>
      <c r="C56">
        <v>310.40899999999999</v>
      </c>
      <c r="D56">
        <v>64.688599999999994</v>
      </c>
      <c r="E56">
        <v>761.673</v>
      </c>
      <c r="F56">
        <v>1.2585500000000001</v>
      </c>
      <c r="G56">
        <v>1.1853499999999999</v>
      </c>
      <c r="H56">
        <v>1.7593999999999999E-3</v>
      </c>
      <c r="I56">
        <v>78.855500000000006</v>
      </c>
      <c r="J56">
        <v>1.3993999999999999E-2</v>
      </c>
      <c r="K56">
        <v>1.1318E-2</v>
      </c>
      <c r="L56">
        <v>0.85641</v>
      </c>
      <c r="M56">
        <v>1094.45</v>
      </c>
      <c r="N56">
        <v>0.78117999999999999</v>
      </c>
      <c r="O56">
        <v>1.00817</v>
      </c>
      <c r="P56" s="71">
        <v>5.5594999999999999E-5</v>
      </c>
      <c r="Q56">
        <v>5.9329799999999997</v>
      </c>
      <c r="R56">
        <v>5.9329799999999997</v>
      </c>
      <c r="S56">
        <v>66.733500000000006</v>
      </c>
      <c r="T56">
        <v>25.068899999999999</v>
      </c>
    </row>
    <row r="57" spans="1:20" x14ac:dyDescent="0.3">
      <c r="A57">
        <v>50</v>
      </c>
      <c r="B57">
        <v>101.57899999999999</v>
      </c>
      <c r="C57">
        <v>310.40899999999999</v>
      </c>
      <c r="D57">
        <v>77.029600000000002</v>
      </c>
      <c r="E57">
        <v>749.88099999999997</v>
      </c>
      <c r="F57">
        <v>1.1221300000000001</v>
      </c>
      <c r="G57">
        <v>1.21868</v>
      </c>
      <c r="H57">
        <v>1.9055999999999999E-3</v>
      </c>
      <c r="I57">
        <v>94.740200000000002</v>
      </c>
      <c r="J57">
        <v>1.474E-2</v>
      </c>
      <c r="K57">
        <v>9.4207000000000006E-3</v>
      </c>
      <c r="L57">
        <v>0.83887</v>
      </c>
      <c r="M57">
        <v>1094.95</v>
      </c>
      <c r="N57">
        <v>0.78117999999999999</v>
      </c>
      <c r="O57">
        <v>1.0077</v>
      </c>
      <c r="P57" s="71">
        <v>5.5339E-5</v>
      </c>
      <c r="Q57">
        <v>4.7212300000000003</v>
      </c>
      <c r="R57">
        <v>4.7212300000000003</v>
      </c>
      <c r="S57">
        <v>61.1312</v>
      </c>
      <c r="T57">
        <v>25.462700000000002</v>
      </c>
    </row>
    <row r="58" spans="1:20" x14ac:dyDescent="0.3">
      <c r="A58">
        <v>50</v>
      </c>
      <c r="B58">
        <v>116.842</v>
      </c>
      <c r="C58">
        <v>310.40899999999999</v>
      </c>
      <c r="D58">
        <v>90.785600000000002</v>
      </c>
      <c r="E58">
        <v>737.00199999999995</v>
      </c>
      <c r="F58">
        <v>1.0050399999999999</v>
      </c>
      <c r="G58">
        <v>1.25664</v>
      </c>
      <c r="H58">
        <v>1.3029999999999999E-3</v>
      </c>
      <c r="I58">
        <v>110.789</v>
      </c>
      <c r="J58">
        <v>1.5579000000000001E-2</v>
      </c>
      <c r="K58">
        <v>8.0561000000000001E-3</v>
      </c>
      <c r="L58">
        <v>0.82513999999999998</v>
      </c>
      <c r="M58">
        <v>1095.45</v>
      </c>
      <c r="N58">
        <v>0.78117999999999999</v>
      </c>
      <c r="O58">
        <v>1.0072399999999999</v>
      </c>
      <c r="P58" s="71">
        <v>5.5081999999999999E-5</v>
      </c>
      <c r="Q58">
        <v>3.67842</v>
      </c>
      <c r="R58">
        <v>3.67842</v>
      </c>
      <c r="S58">
        <v>55.825400000000002</v>
      </c>
      <c r="T58">
        <v>25.881599999999999</v>
      </c>
    </row>
    <row r="59" spans="1:20" x14ac:dyDescent="0.3">
      <c r="A59">
        <v>50</v>
      </c>
      <c r="B59">
        <v>132.10499999999999</v>
      </c>
      <c r="C59">
        <v>310.40899999999999</v>
      </c>
      <c r="D59">
        <v>100.202</v>
      </c>
      <c r="E59">
        <v>728.36900000000003</v>
      </c>
      <c r="F59">
        <v>0.93989</v>
      </c>
      <c r="G59">
        <v>1.28308</v>
      </c>
      <c r="H59">
        <v>1.4312999999999999E-3</v>
      </c>
      <c r="I59">
        <v>126.735</v>
      </c>
      <c r="J59">
        <v>1.6503E-2</v>
      </c>
      <c r="K59">
        <v>7.0425000000000001E-3</v>
      </c>
      <c r="L59">
        <v>0.81555</v>
      </c>
      <c r="M59">
        <v>1095.95</v>
      </c>
      <c r="N59">
        <v>0.78117999999999999</v>
      </c>
      <c r="O59">
        <v>1.00678</v>
      </c>
      <c r="P59" s="71">
        <v>5.4824999999999998E-5</v>
      </c>
      <c r="Q59">
        <v>2.8824700000000001</v>
      </c>
      <c r="R59">
        <v>2.8824700000000001</v>
      </c>
      <c r="S59">
        <v>50.894399999999997</v>
      </c>
      <c r="T59">
        <v>26.165199999999999</v>
      </c>
    </row>
    <row r="60" spans="1:20" x14ac:dyDescent="0.3">
      <c r="A60">
        <v>50</v>
      </c>
      <c r="B60">
        <v>147.36799999999999</v>
      </c>
      <c r="C60">
        <v>310.40899999999999</v>
      </c>
      <c r="D60">
        <v>110.652</v>
      </c>
      <c r="E60">
        <v>718.98</v>
      </c>
      <c r="F60">
        <v>0.87822</v>
      </c>
      <c r="G60">
        <v>1.3128</v>
      </c>
      <c r="H60">
        <v>1.578E-3</v>
      </c>
      <c r="I60">
        <v>142.316</v>
      </c>
      <c r="J60">
        <v>1.7498E-2</v>
      </c>
      <c r="K60">
        <v>6.2713999999999999E-3</v>
      </c>
      <c r="L60">
        <v>0.81016999999999995</v>
      </c>
      <c r="M60">
        <v>1096.46</v>
      </c>
      <c r="N60">
        <v>0.78117999999999999</v>
      </c>
      <c r="O60">
        <v>1.0063200000000001</v>
      </c>
      <c r="P60" s="71">
        <v>5.4568000000000003E-5</v>
      </c>
      <c r="Q60">
        <v>2.2248800000000002</v>
      </c>
      <c r="R60">
        <v>2.2248800000000002</v>
      </c>
      <c r="S60">
        <v>46.3919</v>
      </c>
      <c r="T60">
        <v>26.464700000000001</v>
      </c>
    </row>
    <row r="61" spans="1:20" x14ac:dyDescent="0.3">
      <c r="A61">
        <v>50</v>
      </c>
      <c r="B61">
        <v>162.63200000000001</v>
      </c>
      <c r="C61">
        <v>310.40899999999999</v>
      </c>
      <c r="D61">
        <v>122.31399999999999</v>
      </c>
      <c r="E61">
        <v>708.74800000000005</v>
      </c>
      <c r="F61">
        <v>0.81967999999999996</v>
      </c>
      <c r="G61">
        <v>1.3464499999999999</v>
      </c>
      <c r="H61">
        <v>1.7413000000000001E-3</v>
      </c>
      <c r="I61">
        <v>157.31899999999999</v>
      </c>
      <c r="J61">
        <v>1.8550000000000001E-2</v>
      </c>
      <c r="K61">
        <v>5.6733E-3</v>
      </c>
      <c r="L61">
        <v>0.80881000000000003</v>
      </c>
      <c r="M61">
        <v>1096.96</v>
      </c>
      <c r="N61">
        <v>0.78117999999999999</v>
      </c>
      <c r="O61">
        <v>1.00586</v>
      </c>
      <c r="P61" s="71">
        <v>5.4311000000000002E-5</v>
      </c>
      <c r="Q61">
        <v>1.69363</v>
      </c>
      <c r="R61">
        <v>1.69363</v>
      </c>
      <c r="S61">
        <v>42.340899999999998</v>
      </c>
      <c r="T61">
        <v>26.779800000000002</v>
      </c>
    </row>
    <row r="62" spans="1:20" x14ac:dyDescent="0.3">
      <c r="A62">
        <v>50</v>
      </c>
      <c r="B62">
        <v>177.89500000000001</v>
      </c>
      <c r="C62">
        <v>310.40899999999999</v>
      </c>
      <c r="D62">
        <v>135.41399999999999</v>
      </c>
      <c r="E62">
        <v>697.57500000000005</v>
      </c>
      <c r="F62">
        <v>0.76397000000000004</v>
      </c>
      <c r="G62">
        <v>1.3847700000000001</v>
      </c>
      <c r="H62">
        <v>1.936E-3</v>
      </c>
      <c r="I62">
        <v>171.59100000000001</v>
      </c>
      <c r="J62">
        <v>1.9642E-2</v>
      </c>
      <c r="K62">
        <v>5.2015000000000004E-3</v>
      </c>
      <c r="L62">
        <v>0.81113999999999997</v>
      </c>
      <c r="M62">
        <v>1097.46</v>
      </c>
      <c r="N62">
        <v>0.78117999999999999</v>
      </c>
      <c r="O62">
        <v>1.0054000000000001</v>
      </c>
      <c r="P62" s="71">
        <v>5.4054000000000001E-5</v>
      </c>
      <c r="Q62">
        <v>1.2727900000000001</v>
      </c>
      <c r="R62">
        <v>1.2727900000000001</v>
      </c>
      <c r="S62">
        <v>38.736199999999997</v>
      </c>
      <c r="T62">
        <v>27.108899999999998</v>
      </c>
    </row>
    <row r="63" spans="1:20" x14ac:dyDescent="0.3">
      <c r="A63">
        <v>50</v>
      </c>
      <c r="B63">
        <v>193.15799999999999</v>
      </c>
      <c r="C63">
        <v>310.40899999999999</v>
      </c>
      <c r="D63">
        <v>150.233</v>
      </c>
      <c r="E63">
        <v>685.34699999999998</v>
      </c>
      <c r="F63">
        <v>0.71082999999999996</v>
      </c>
      <c r="G63">
        <v>1.4287799999999999</v>
      </c>
      <c r="H63">
        <v>2.1627E-3</v>
      </c>
      <c r="I63">
        <v>185.04499999999999</v>
      </c>
      <c r="J63">
        <v>2.0760000000000001E-2</v>
      </c>
      <c r="K63">
        <v>4.8233E-3</v>
      </c>
      <c r="L63">
        <v>0.81669999999999998</v>
      </c>
      <c r="M63">
        <v>1097.96</v>
      </c>
      <c r="N63">
        <v>0.78117999999999999</v>
      </c>
      <c r="O63">
        <v>1.0049399999999999</v>
      </c>
      <c r="P63" s="71">
        <v>5.3797E-5</v>
      </c>
      <c r="Q63">
        <v>0.93422000000000005</v>
      </c>
      <c r="R63">
        <v>0.93422000000000005</v>
      </c>
      <c r="S63">
        <v>35.552100000000003</v>
      </c>
      <c r="T63">
        <v>27.4999</v>
      </c>
    </row>
    <row r="64" spans="1:20" x14ac:dyDescent="0.3">
      <c r="A64">
        <v>50</v>
      </c>
      <c r="B64">
        <v>208.42099999999999</v>
      </c>
      <c r="C64">
        <v>310.40899999999999</v>
      </c>
      <c r="D64">
        <v>167.13399999999999</v>
      </c>
      <c r="E64">
        <v>671.93499999999995</v>
      </c>
      <c r="F64">
        <v>0.65998999999999997</v>
      </c>
      <c r="G64">
        <v>1.4797499999999999</v>
      </c>
      <c r="H64">
        <v>2.4299E-3</v>
      </c>
      <c r="I64">
        <v>197.65</v>
      </c>
      <c r="J64">
        <v>2.1891000000000001E-2</v>
      </c>
      <c r="K64">
        <v>4.5157000000000001E-3</v>
      </c>
      <c r="L64">
        <v>0.82503000000000004</v>
      </c>
      <c r="M64">
        <v>1098.47</v>
      </c>
      <c r="N64">
        <v>0.78117999999999999</v>
      </c>
      <c r="O64">
        <v>1.00448</v>
      </c>
      <c r="P64" s="71">
        <v>5.3541000000000001E-5</v>
      </c>
      <c r="Q64">
        <v>0.66259999999999997</v>
      </c>
      <c r="R64">
        <v>0.66259999999999997</v>
      </c>
      <c r="S64">
        <v>32.750799999999998</v>
      </c>
      <c r="T64">
        <v>27.981300000000001</v>
      </c>
    </row>
    <row r="65" spans="1:20" x14ac:dyDescent="0.3">
      <c r="A65">
        <v>50</v>
      </c>
      <c r="B65">
        <v>223.684</v>
      </c>
      <c r="C65">
        <v>310.40899999999999</v>
      </c>
      <c r="D65">
        <v>186.59</v>
      </c>
      <c r="E65">
        <v>657.18799999999999</v>
      </c>
      <c r="F65">
        <v>0.61123000000000005</v>
      </c>
      <c r="G65">
        <v>1.53939</v>
      </c>
      <c r="H65">
        <v>2.7468000000000002E-3</v>
      </c>
      <c r="I65">
        <v>209.411</v>
      </c>
      <c r="J65">
        <v>2.3023999999999999E-2</v>
      </c>
      <c r="K65">
        <v>4.2620999999999996E-3</v>
      </c>
      <c r="L65">
        <v>0.83572000000000002</v>
      </c>
      <c r="M65">
        <v>1098.97</v>
      </c>
      <c r="N65">
        <v>0.78117999999999999</v>
      </c>
      <c r="O65">
        <v>1.0040199999999999</v>
      </c>
      <c r="P65" s="71">
        <v>5.3284E-5</v>
      </c>
      <c r="Q65">
        <v>0.45637</v>
      </c>
      <c r="R65">
        <v>0.45637</v>
      </c>
      <c r="S65">
        <v>30.289899999999999</v>
      </c>
      <c r="T65">
        <v>28.506699999999999</v>
      </c>
    </row>
    <row r="66" spans="1:20" x14ac:dyDescent="0.3">
      <c r="A66">
        <v>50</v>
      </c>
      <c r="B66">
        <v>238.947</v>
      </c>
      <c r="C66">
        <v>310.40899999999999</v>
      </c>
      <c r="D66">
        <v>209.227</v>
      </c>
      <c r="E66">
        <v>640.93100000000004</v>
      </c>
      <c r="F66">
        <v>0.56433</v>
      </c>
      <c r="G66">
        <v>1.6099600000000001</v>
      </c>
      <c r="H66">
        <v>3.1273E-3</v>
      </c>
      <c r="I66">
        <v>220.36</v>
      </c>
      <c r="J66">
        <v>2.4150999999999999E-2</v>
      </c>
      <c r="K66">
        <v>4.0502999999999997E-3</v>
      </c>
      <c r="L66">
        <v>0.84838999999999998</v>
      </c>
      <c r="M66">
        <v>1099.47</v>
      </c>
      <c r="N66">
        <v>0.78117999999999999</v>
      </c>
      <c r="O66">
        <v>1.00356</v>
      </c>
      <c r="P66" s="71">
        <v>5.3026999999999999E-5</v>
      </c>
      <c r="Q66">
        <v>0.30269000000000001</v>
      </c>
      <c r="R66">
        <v>0.30269000000000001</v>
      </c>
      <c r="S66">
        <v>28.126999999999999</v>
      </c>
      <c r="T66">
        <v>29.081299999999999</v>
      </c>
    </row>
    <row r="67" spans="1:20" x14ac:dyDescent="0.3">
      <c r="A67">
        <v>50</v>
      </c>
      <c r="B67">
        <v>254.21100000000001</v>
      </c>
      <c r="C67">
        <v>310.40899999999999</v>
      </c>
      <c r="D67">
        <v>235.89400000000001</v>
      </c>
      <c r="E67">
        <v>622.96199999999999</v>
      </c>
      <c r="F67">
        <v>0.51907999999999999</v>
      </c>
      <c r="G67">
        <v>1.6946099999999999</v>
      </c>
      <c r="H67">
        <v>3.5885000000000001E-3</v>
      </c>
      <c r="I67">
        <v>230.54400000000001</v>
      </c>
      <c r="J67">
        <v>2.5267000000000001E-2</v>
      </c>
      <c r="K67">
        <v>3.8714000000000001E-3</v>
      </c>
      <c r="L67">
        <v>0.86270999999999998</v>
      </c>
      <c r="M67">
        <v>1099.98</v>
      </c>
      <c r="N67">
        <v>0.78117999999999999</v>
      </c>
      <c r="O67">
        <v>1.0031000000000001</v>
      </c>
      <c r="P67" s="71">
        <v>5.2769999999999998E-5</v>
      </c>
      <c r="Q67">
        <v>0.20607</v>
      </c>
      <c r="R67">
        <v>0.20607</v>
      </c>
      <c r="S67">
        <v>26.222799999999999</v>
      </c>
      <c r="T67">
        <v>29.710999999999999</v>
      </c>
    </row>
    <row r="68" spans="1:20" x14ac:dyDescent="0.3">
      <c r="A68">
        <v>50</v>
      </c>
      <c r="B68">
        <v>269.47399999999999</v>
      </c>
      <c r="C68">
        <v>310.40899999999999</v>
      </c>
      <c r="D68">
        <v>267.77199999999999</v>
      </c>
      <c r="E68">
        <v>603.04399999999998</v>
      </c>
      <c r="F68">
        <v>0.47528999999999999</v>
      </c>
      <c r="G68">
        <v>1.7977700000000001</v>
      </c>
      <c r="H68">
        <v>4.1570000000000001E-3</v>
      </c>
      <c r="I68">
        <v>240.01599999999999</v>
      </c>
      <c r="J68">
        <v>2.6365E-2</v>
      </c>
      <c r="K68">
        <v>3.7185999999999999E-3</v>
      </c>
      <c r="L68">
        <v>0.87841999999999998</v>
      </c>
      <c r="M68">
        <v>1100.48</v>
      </c>
      <c r="N68">
        <v>0.78117999999999999</v>
      </c>
      <c r="O68">
        <v>1.00264</v>
      </c>
      <c r="P68" s="71">
        <v>5.2512999999999997E-5</v>
      </c>
      <c r="Q68">
        <v>0.20607</v>
      </c>
      <c r="R68">
        <v>0.20607</v>
      </c>
      <c r="S68">
        <v>24.541699999999999</v>
      </c>
      <c r="T68">
        <v>30.4024</v>
      </c>
    </row>
    <row r="69" spans="1:20" x14ac:dyDescent="0.3">
      <c r="A69">
        <v>50</v>
      </c>
      <c r="B69">
        <v>284.73700000000002</v>
      </c>
      <c r="C69">
        <v>310.40899999999999</v>
      </c>
      <c r="D69">
        <v>297.07100000000003</v>
      </c>
      <c r="E69">
        <v>586.11699999999996</v>
      </c>
      <c r="F69">
        <v>0.44225999999999999</v>
      </c>
      <c r="G69">
        <v>1.8943099999999999</v>
      </c>
      <c r="H69">
        <v>3.4014000000000002E-3</v>
      </c>
      <c r="I69">
        <v>248.834</v>
      </c>
      <c r="J69">
        <v>2.7444E-2</v>
      </c>
      <c r="K69">
        <v>3.5867999999999998E-3</v>
      </c>
      <c r="L69">
        <v>0.89527999999999996</v>
      </c>
      <c r="M69">
        <v>1100.99</v>
      </c>
      <c r="N69">
        <v>0.78117999999999999</v>
      </c>
      <c r="O69">
        <v>1.0021800000000001</v>
      </c>
      <c r="P69" s="71">
        <v>5.2256000000000002E-5</v>
      </c>
      <c r="Q69">
        <v>0.20607</v>
      </c>
      <c r="R69">
        <v>0.20607</v>
      </c>
      <c r="S69">
        <v>23.052700000000002</v>
      </c>
      <c r="T69">
        <v>30.990600000000001</v>
      </c>
    </row>
    <row r="70" spans="1:20" x14ac:dyDescent="0.3">
      <c r="A70">
        <v>50</v>
      </c>
      <c r="B70">
        <v>300</v>
      </c>
      <c r="C70">
        <v>310.40899999999999</v>
      </c>
      <c r="D70">
        <v>328.14</v>
      </c>
      <c r="E70">
        <v>569.47799999999995</v>
      </c>
      <c r="F70">
        <v>0.41286</v>
      </c>
      <c r="G70">
        <v>1.9983599999999999</v>
      </c>
      <c r="H70">
        <v>3.5958000000000001E-3</v>
      </c>
      <c r="I70">
        <v>257.053</v>
      </c>
      <c r="J70">
        <v>2.8502E-2</v>
      </c>
      <c r="K70">
        <v>3.4721000000000001E-3</v>
      </c>
      <c r="L70">
        <v>0.91310999999999998</v>
      </c>
      <c r="M70">
        <v>1101.5</v>
      </c>
      <c r="N70">
        <v>0.78117999999999999</v>
      </c>
      <c r="O70">
        <v>1.0017199999999999</v>
      </c>
      <c r="P70" s="71">
        <v>5.1999000000000001E-5</v>
      </c>
      <c r="Q70">
        <v>0.20607</v>
      </c>
      <c r="R70">
        <v>0.20607</v>
      </c>
      <c r="S70">
        <v>21.728899999999999</v>
      </c>
      <c r="T70">
        <v>31.565799999999999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connections2</vt:lpstr>
      <vt:lpstr>Wellnames</vt:lpstr>
      <vt:lpstr>Separators</vt:lpstr>
      <vt:lpstr>RMSs</vt:lpstr>
      <vt:lpstr>TLs</vt:lpstr>
      <vt:lpstr>Slots</vt:lpstr>
      <vt:lpstr>Sheet5</vt:lpstr>
      <vt:lpstr>dp_correlation</vt:lpstr>
      <vt:lpstr>PVT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</cp:lastModifiedBy>
  <dcterms:created xsi:type="dcterms:W3CDTF">2017-03-15T02:33:47Z</dcterms:created>
  <dcterms:modified xsi:type="dcterms:W3CDTF">2018-01-26T21:16:47Z</dcterms:modified>
</cp:coreProperties>
</file>